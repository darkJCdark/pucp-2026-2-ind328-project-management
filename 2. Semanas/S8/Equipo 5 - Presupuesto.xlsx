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esupuesto por Entregable" sheetId="1" r:id="rId5"/>
    <sheet state="visible" name="Flujo de Caja" sheetId="2" r:id="rId6"/>
    <sheet state="hidden" name="Curva S" sheetId="3" r:id="rId7"/>
  </sheets>
  <definedNames/>
  <calcPr/>
</workbook>
</file>

<file path=xl/sharedStrings.xml><?xml version="1.0" encoding="utf-8"?>
<sst xmlns="http://schemas.openxmlformats.org/spreadsheetml/2006/main" count="1671" uniqueCount="543">
  <si>
    <t>Presupuesto por Entregable de la EDT — DSC PUCP Workshops</t>
  </si>
  <si>
    <t>Flujo de Caja — enero a agosto 2027</t>
  </si>
  <si>
    <t>Solo desembolsos monetarios, ubicados en el mes en que el cronograma detallado programa la compra o el evento. Los auspicios entran en tramos al menos 30 días antes de los eventos que financian (R2).</t>
  </si>
  <si>
    <t>Tabla 1: Tarifas por recurso humano</t>
  </si>
  <si>
    <t>Concepto</t>
  </si>
  <si>
    <t>Sigla</t>
  </si>
  <si>
    <t>Recurso (según el cronograma)</t>
  </si>
  <si>
    <t>Mes 1
Ene-27</t>
  </si>
  <si>
    <t>Tarifa por hora (S/)</t>
  </si>
  <si>
    <t>Mes 2
Feb-27</t>
  </si>
  <si>
    <t>Mes 3
Mar-27</t>
  </si>
  <si>
    <t>Modalidad</t>
  </si>
  <si>
    <t>Mes 4
Abr-27</t>
  </si>
  <si>
    <t>Mes 5
May-27</t>
  </si>
  <si>
    <t>Mes 6
Jun-27</t>
  </si>
  <si>
    <t>Mes 7
Jul-27</t>
  </si>
  <si>
    <t>Mes 8
Ago-27</t>
  </si>
  <si>
    <t>Total</t>
  </si>
  <si>
    <t>Tramo de auspicios</t>
  </si>
  <si>
    <t>% de la meta</t>
  </si>
  <si>
    <t>Fecha límite de desembolso</t>
  </si>
  <si>
    <t>Ingresos (*)</t>
  </si>
  <si>
    <t>Nota</t>
  </si>
  <si>
    <t>PAT</t>
  </si>
  <si>
    <t>Patrocinador (L. Flores)</t>
  </si>
  <si>
    <t>Tramo 1 (febrero)</t>
  </si>
  <si>
    <t>Voluntario (sin remuneración)</t>
  </si>
  <si>
    <t>Antes del 02/02 — orden de compra del merchandising (3.1.3.1) y 30 días antes del Módulo I</t>
  </si>
  <si>
    <t>Capital semilla DSC PUCP</t>
  </si>
  <si>
    <t>GP</t>
  </si>
  <si>
    <t>Gerente de Proyecto (L. Alvites)</t>
  </si>
  <si>
    <t>EQ5</t>
  </si>
  <si>
    <t>Equipo 5 (Planificación)</t>
  </si>
  <si>
    <t>DIR</t>
  </si>
  <si>
    <t>Directores de área (reuniones conjuntas)</t>
  </si>
  <si>
    <t>LOG</t>
  </si>
  <si>
    <t>Logística y Eventos (F. Caceres)</t>
  </si>
  <si>
    <t>MKT</t>
  </si>
  <si>
    <t>Marketing y Comunidad (A. Quispe)</t>
  </si>
  <si>
    <t>REX</t>
  </si>
  <si>
    <t>Relaciones Exteriores (S. Cruz)</t>
  </si>
  <si>
    <t>FIN</t>
  </si>
  <si>
    <t>Tramo 2 (abril)</t>
  </si>
  <si>
    <t>Finanzas y Legalidad (E. Chachayma)</t>
  </si>
  <si>
    <t>Antes del 29/04 — 30 días antes del Torneo de Vibecoding</t>
  </si>
  <si>
    <t>Auspicios — tramo 1 (30 %)</t>
  </si>
  <si>
    <t>RH</t>
  </si>
  <si>
    <t>RR.HH. (M. Colala)</t>
  </si>
  <si>
    <t>SW</t>
  </si>
  <si>
    <t>Desarrollo de Software (R. Chang)</t>
  </si>
  <si>
    <t>Tramo 3 (junio)</t>
  </si>
  <si>
    <t>Antes del 30/06 — 30 días antes de la hackathon de 24 h</t>
  </si>
  <si>
    <t>Auspicios — tramo 2 (20 %)</t>
  </si>
  <si>
    <t>INF</t>
  </si>
  <si>
    <t>Infraestructura y Ciberseguridad (R. Sanchez)</t>
  </si>
  <si>
    <t>STF</t>
  </si>
  <si>
    <t>Voluntarios DSC</t>
  </si>
  <si>
    <t>PON</t>
  </si>
  <si>
    <t>Ponentes</t>
  </si>
  <si>
    <t>MEN</t>
  </si>
  <si>
    <t>Mentores</t>
  </si>
  <si>
    <t>Auspicios — tramo 3 (50 %)</t>
  </si>
  <si>
    <t>JUR</t>
  </si>
  <si>
    <t>Jurados</t>
  </si>
  <si>
    <t>PAB</t>
  </si>
  <si>
    <t>Pabellón V (P. Corrado, F. Solari)</t>
  </si>
  <si>
    <t>Cedido por la PUCP</t>
  </si>
  <si>
    <t>Total Ingresos</t>
  </si>
  <si>
    <t>Tabla 2: Presupuesto por entregable</t>
  </si>
  <si>
    <t>Código EDT</t>
  </si>
  <si>
    <t>Entregable / recurso</t>
  </si>
  <si>
    <t>Cuenta de control</t>
  </si>
  <si>
    <t>Cantidad</t>
  </si>
  <si>
    <t>Tarifa (S/)</t>
  </si>
  <si>
    <t>Tiempo</t>
  </si>
  <si>
    <t>Unidad</t>
  </si>
  <si>
    <t>Subtotal (S/)</t>
  </si>
  <si>
    <t>Tipo de recurso</t>
  </si>
  <si>
    <t>Base de estimación / supuesto</t>
  </si>
  <si>
    <t>1</t>
  </si>
  <si>
    <t>INICIO</t>
  </si>
  <si>
    <t>1.1</t>
  </si>
  <si>
    <t>Egresos</t>
  </si>
  <si>
    <t>Acta de constitución del proyecto (1 día: 14/09/26 – 14/09/26)</t>
  </si>
  <si>
    <t>3.1 Patrocinios y adquisiciones (merchandising)</t>
  </si>
  <si>
    <t>3.2 Publicidad y difusión</t>
  </si>
  <si>
    <t>Actividades: 1.1.1</t>
  </si>
  <si>
    <t xml:space="preserve">    Patrocinador (L. Flores)</t>
  </si>
  <si>
    <t>horas c/u</t>
  </si>
  <si>
    <t>Personal</t>
  </si>
  <si>
    <t xml:space="preserve">    Gerente de Proyecto (L. Alvites)</t>
  </si>
  <si>
    <t>1.2</t>
  </si>
  <si>
    <t>Declaración preliminar del alcance (4 días: 15/09/26 – 18/09/26)</t>
  </si>
  <si>
    <t>3.3 Primera Ronda de Talleres — Módulo I</t>
  </si>
  <si>
    <t>Actividades: 1.2.1, 1.2.2</t>
  </si>
  <si>
    <t>3.6 Hackathon "Kachimbo"</t>
  </si>
  <si>
    <t>3.4 Segunda Ronda de Talleres — Módulo II</t>
  </si>
  <si>
    <t xml:space="preserve">    Equipo 5 (Planificación)</t>
  </si>
  <si>
    <t>3.7 Competencia de Kaggle</t>
  </si>
  <si>
    <t>1.3</t>
  </si>
  <si>
    <t>Acuerdos iniciales con patrocinadores (22 días: 22/09/26 – 17/10/26)</t>
  </si>
  <si>
    <t>3.8 Torneo de Vibecoding (8 h)</t>
  </si>
  <si>
    <t>Actividades: 1.3.1, 1.3.2, 1.3.3</t>
  </si>
  <si>
    <t>3.5 Tercera Ronda de Talleres — Módulo III y premiación GCP</t>
  </si>
  <si>
    <t xml:space="preserve">    Relaciones Exteriores (S. Cruz)</t>
  </si>
  <si>
    <t>3.9 Hackathon Internacional de 24 h</t>
  </si>
  <si>
    <t>1.4</t>
  </si>
  <si>
    <t>Registro de interesados (6 días: 15/09/26 – 21/09/26)</t>
  </si>
  <si>
    <t>Total Egresos</t>
  </si>
  <si>
    <t>Actividades: 1.4.1, 1.4.2</t>
  </si>
  <si>
    <t>Saldo del mes (ingresos − egresos)</t>
  </si>
  <si>
    <t xml:space="preserve">    Directores de área (reuniones conjuntas)</t>
  </si>
  <si>
    <t>Total 1. Inicio</t>
  </si>
  <si>
    <t>Total Acumulado</t>
  </si>
  <si>
    <t>2</t>
  </si>
  <si>
    <t>PLANIFICACIÓN</t>
  </si>
  <si>
    <t>2.1</t>
  </si>
  <si>
    <t>Plan de Gestión del Proyecto (12 días: 17/10/26 – 30/10/26)</t>
  </si>
  <si>
    <t>Actividades: 2.1.1, 2.1.2, 2.1.3</t>
  </si>
  <si>
    <t>Comprobación: saldo final esperado = superávit + contingencia + gestión</t>
  </si>
  <si>
    <t>Diferencia con el acumulado de agosto (debe ser 0)</t>
  </si>
  <si>
    <t>Saldo mínimo del periodo (no debe ser negativo)</t>
  </si>
  <si>
    <t>* Los ingresos provienen del capital semilla de DSC PUCP y de los auspicios corporativos (P11: los participantes no pagan inscripción).</t>
  </si>
  <si>
    <t>* Los egresos corresponden a las cuentas de control de la hoja 'Presupuesto por Entregable'; las reservas no se programan porque solo se usan si ocurre el riesgo o el imprevisto.</t>
  </si>
  <si>
    <t>2.2</t>
  </si>
  <si>
    <t>* En enero solo se gasta el dominio web, dentro del tope de S/ 300 del capital semilla. Ninguna compra se compromete antes del primer desembolso (R2).</t>
  </si>
  <si>
    <t>Plan de Gestión del Cronograma (12 días: 22/09/26 – 05/10/26)</t>
  </si>
  <si>
    <t>* En un entorno ideal, el total acumulado de agosto es igual al superávit más las reservas no utilizadas.</t>
  </si>
  <si>
    <t>Actividades: 2.2.1, 2.2.2, 2.2.3</t>
  </si>
  <si>
    <t xml:space="preserve">    Logística y Eventos (F. Caceres)</t>
  </si>
  <si>
    <t xml:space="preserve">    Finanzas y Legalidad (E. Chachayma)</t>
  </si>
  <si>
    <t>2.3</t>
  </si>
  <si>
    <t>Plan de Contenidos de los Talleres y Hackathons (Calidad) (10 días: 02/10/26 – 14/10/26)</t>
  </si>
  <si>
    <t>Actividades: 2.3.1, 2.3.2</t>
  </si>
  <si>
    <t>Curva S — costo planificado acumulado vs. línea base y financiamiento</t>
  </si>
  <si>
    <t xml:space="preserve">    RR.HH. (M. Colala)</t>
  </si>
  <si>
    <t>Se grafica contra la línea base de costos, no contra la reserva de gestión (sesión 7).</t>
  </si>
  <si>
    <t>Mes</t>
  </si>
  <si>
    <t>Costo planificado del mes</t>
  </si>
  <si>
    <t>2.4</t>
  </si>
  <si>
    <t>Plan de Gestión de la Publicidad y Comunicaciones (7 días: 02/10/26 – 10/10/26)</t>
  </si>
  <si>
    <t>Costo acumulado</t>
  </si>
  <si>
    <t>Línea base de costos</t>
  </si>
  <si>
    <t>Financiamiento acumulado</t>
  </si>
  <si>
    <t>Ene-27</t>
  </si>
  <si>
    <t>Actividades: 2.4.1, 2.4.2</t>
  </si>
  <si>
    <t xml:space="preserve">    Marketing y Comunidad (A. Quispe)</t>
  </si>
  <si>
    <t>2.5</t>
  </si>
  <si>
    <t>Plan de Gestión del Alcance (18 días: 15/09/26 – 05/10/26)</t>
  </si>
  <si>
    <t>Actividades: 2.5.1, 2.5.2</t>
  </si>
  <si>
    <t>2.6</t>
  </si>
  <si>
    <t>Plan de Gestión de los Costos (12 días: 02/10/26 – 16/10/26)</t>
  </si>
  <si>
    <t>Feb-27</t>
  </si>
  <si>
    <t>Actividades: 2.6.1, 2.6.2</t>
  </si>
  <si>
    <t>2.7</t>
  </si>
  <si>
    <t>Plan de Gestión de los Recursos (8 días: 02/10/26 – 12/10/26)</t>
  </si>
  <si>
    <t>Actividades: 2.7.1, 2.7.2</t>
  </si>
  <si>
    <t>Mar-27</t>
  </si>
  <si>
    <t>2.8</t>
  </si>
  <si>
    <t>Plan de Gestión de los Riesgos (11 días: 02/10/26 – 15/10/26)</t>
  </si>
  <si>
    <t>Abr-27</t>
  </si>
  <si>
    <t>Actividades: 2.8.1, 2.8.2</t>
  </si>
  <si>
    <t>May-27</t>
  </si>
  <si>
    <t>2.9</t>
  </si>
  <si>
    <t>Plan de Gestión de las Adquisiciones (sponsors y merchandising) (11 días: 02/10/26 – 15/10/26)</t>
  </si>
  <si>
    <t>Actividades: 2.9.1, 2.9.2</t>
  </si>
  <si>
    <t>Jun-27</t>
  </si>
  <si>
    <t>Jul-27</t>
  </si>
  <si>
    <t>Total 2. Planificación</t>
  </si>
  <si>
    <t>3</t>
  </si>
  <si>
    <t>EJECUCIÓN</t>
  </si>
  <si>
    <t>3.1</t>
  </si>
  <si>
    <t>Patrocinios y adquisiciones — cuenta de control (199 días: 31/10/26 – 30/06/27)</t>
  </si>
  <si>
    <t>Ago-27</t>
  </si>
  <si>
    <t>3.1.1</t>
  </si>
  <si>
    <t>Expediente de patrocinios gestionados (199 días: 31/10/26 – 30/06/27)</t>
  </si>
  <si>
    <t>Actividades: 3.1.1.1, 3.1.1.2, 3.1.1.3, 3.1.1.4, 3.1.1.5, 3.1.1.6, 3.1.1.7</t>
  </si>
  <si>
    <t>Negociación: 2 h/día (RR.EE.) y 0.5 h/día (Finanzas).</t>
  </si>
  <si>
    <t>Negociación: 2 h/día (RR.EE.) y 0.5 h/día (Finanzas). Seguimiento de desembolsos: 1 h por semana.</t>
  </si>
  <si>
    <t>3.1.2</t>
  </si>
  <si>
    <t>Diseño de merchandising (8 días: 23/01/27 – 01/02/27)</t>
  </si>
  <si>
    <t>Actividades: 3.1.2.1, 3.1.2.2</t>
  </si>
  <si>
    <t>3.1.3</t>
  </si>
  <si>
    <t>Orden de compra y acta de recepción de merchandising (15 días: 02/02/27 – 18/02/27)</t>
  </si>
  <si>
    <t>Actividades: 3.1.3.1, 3.1.3.2, 3.1.3.3</t>
  </si>
  <si>
    <t xml:space="preserve">    Polos para el staff voluntario</t>
  </si>
  <si>
    <t>compra única</t>
  </si>
  <si>
    <t>Materiales</t>
  </si>
  <si>
    <t>Cantidad = staff voluntario supuesto.</t>
  </si>
  <si>
    <t xml:space="preserve">    Stickers del programa</t>
  </si>
  <si>
    <t>Se reparten en los 7 eventos.</t>
  </si>
  <si>
    <t xml:space="preserve">    Tomatodos</t>
  </si>
  <si>
    <t>Artículo del 3.1.2.1. Supuesto: obsequio a los expertos; destino y precio por confirmar.</t>
  </si>
  <si>
    <t>3.2</t>
  </si>
  <si>
    <t>Publicidad y difusión — cuenta de control (220 días: 07/11/26 – 04/08/27)</t>
  </si>
  <si>
    <t>3.2.1</t>
  </si>
  <si>
    <t>Piezas gráficas y audiovisuales (220 días: 07/11/26 – 04/08/27)</t>
  </si>
  <si>
    <t>Actividades: 3.2.1.1, 3.2.1.2, 3.2.1.3, 3.2.1.4, 3.2.1.5, 3.2.1.6</t>
  </si>
  <si>
    <t>Producción continua de piezas: 1 h/día.</t>
  </si>
  <si>
    <t xml:space="preserve">    Desarrollo de Software (R. Chang)</t>
  </si>
  <si>
    <t xml:space="preserve">    Infraestructura y Ciberseguridad (R. Sanchez)</t>
  </si>
  <si>
    <t xml:space="preserve">    Dominio de la web oficial</t>
  </si>
  <si>
    <t>año</t>
  </si>
  <si>
    <t>Tecnología</t>
  </si>
  <si>
    <t>Se compra al iniciar 3.2.1.2 (04/01/27). Hosting con créditos GCP (S/ 0).</t>
  </si>
  <si>
    <t xml:space="preserve">    Banners roll-up</t>
  </si>
  <si>
    <t>Para el lanzamiento (3.2.1.5, 15/02/27).</t>
  </si>
  <si>
    <t xml:space="preserve">    Afiches impresos para el campus</t>
  </si>
  <si>
    <t>Tamaño A3; lanzamiento.</t>
  </si>
  <si>
    <t xml:space="preserve">    Publicidad pagada en Instagram y LinkedIn</t>
  </si>
  <si>
    <t>meses</t>
  </si>
  <si>
    <t>Servicios</t>
  </si>
  <si>
    <t>Durante 3.2.1.6 (16/02 – 04/08/27).</t>
  </si>
  <si>
    <t>3.2.2</t>
  </si>
  <si>
    <t>Informes de campañas publicitarias (104 días: 29/03/27 – 03/08/27)</t>
  </si>
  <si>
    <t>Actividades: 3.2.2.1, 3.2.2.2, 3.2.2.3, 3.2.2.4, 3.2.2.5</t>
  </si>
  <si>
    <t>3.3</t>
  </si>
  <si>
    <t>Primera Ronda de Talleres – Módulo I "Hack With DSC" (Pabellón V) — cuenta de control (110 días: 16/11/26 – 30/03/27)</t>
  </si>
  <si>
    <t>3.3.1</t>
  </si>
  <si>
    <t>Equipo de voluntarios del evento (21 días: 04/02/27 – 27/02/27)</t>
  </si>
  <si>
    <t>Actividades: 3.3.1.1.1, 3.3.1.2.1, 3.3.1.3.1</t>
  </si>
  <si>
    <t xml:space="preserve">    Voluntarios DSC</t>
  </si>
  <si>
    <t>3.3.2</t>
  </si>
  <si>
    <t>Registro de recursos para el evento (105 días: 16/11/26 – 22/03/27)</t>
  </si>
  <si>
    <t>Actividades: 3.3.2.1, 3.3.2.2, 3.3.2.3, 3.3.2.4, 3.3.2.5</t>
  </si>
  <si>
    <t xml:space="preserve">    Pabellón V (P. Corrado, F. Solari)</t>
  </si>
  <si>
    <t xml:space="preserve">    Refrigerio para ponente y staff de sesión</t>
  </si>
  <si>
    <t>sesiones</t>
  </si>
  <si>
    <t>Alimentación</t>
  </si>
  <si>
    <t>7 sesiones de 3.3.5.</t>
  </si>
  <si>
    <t>3.3.3</t>
  </si>
  <si>
    <t>Control de merchandising (18 días: 04/03/27 – 24/03/27)</t>
  </si>
  <si>
    <t>Actividades: 3.3.3.1</t>
  </si>
  <si>
    <t>3.3.4</t>
  </si>
  <si>
    <t>Sílabos de los talleres (8 días: 04/01/27 – 12/01/27)</t>
  </si>
  <si>
    <t>Actividades: 3.3.4.1, 3.3.4.2</t>
  </si>
  <si>
    <t xml:space="preserve">    Ponentes</t>
  </si>
  <si>
    <t>3.3.5</t>
  </si>
  <si>
    <t>Informe de asistencia (21 días: 04/03/27 – 30/03/27)</t>
  </si>
  <si>
    <t>Actividades: 3.3.5.1, 3.3.5.2, 3.3.5.3, 3.3.5.4, 3.3.5.5, 3.3.5.6, 3.3.5.7, 3.3.5.8</t>
  </si>
  <si>
    <t>3.3.6</t>
  </si>
  <si>
    <t>Registro de lecciones aprendidas (1 día: 29/03/27 – 29/03/27)</t>
  </si>
  <si>
    <t>Actividades: 3.3.6.1</t>
  </si>
  <si>
    <t>3.4</t>
  </si>
  <si>
    <t>Segunda Ronda de Talleres – Módulo II "IA y Machine Learning" (Pabellón V) — cuenta de control (122 días: 30/11/26 – 27/04/27)</t>
  </si>
  <si>
    <t>3.4.1</t>
  </si>
  <si>
    <t>Equipo de voluntarios del evento (23 días: 02/03/27 – 30/03/27)</t>
  </si>
  <si>
    <t>Actividades: 3.4.1.1.1, 3.4.1.2.1, 3.4.1.3.1</t>
  </si>
  <si>
    <t>3.4.2</t>
  </si>
  <si>
    <t>Registro de recursos para el evento (116 días: 30/11/26 – 20/04/27)</t>
  </si>
  <si>
    <t>Actividades: 3.4.2.1, 3.4.2.2, 3.4.2.3, 3.4.2.4, 3.4.2.5</t>
  </si>
  <si>
    <t>7 sesiones de 3.4.5.</t>
  </si>
  <si>
    <t>3.4.3</t>
  </si>
  <si>
    <t>Control de merchandising (19 días: 01/04/27 – 22/04/27)</t>
  </si>
  <si>
    <t>Actividades: 3.4.3.1</t>
  </si>
  <si>
    <t>3.4.4</t>
  </si>
  <si>
    <t>Sílabos de los talleres (8 días: 11/01/27 – 19/01/27)</t>
  </si>
  <si>
    <t>Actividades: 3.4.4.1, 3.4.4.2</t>
  </si>
  <si>
    <t>3.4.5</t>
  </si>
  <si>
    <t>Informe de asistencia (23 días: 01/04/27 – 27/04/27)</t>
  </si>
  <si>
    <t>Actividades: 3.4.5.1, 3.4.5.2, 3.4.5.3, 3.4.5.4, 3.4.5.5, 3.4.5.6, 3.4.5.7, 3.4.5.8</t>
  </si>
  <si>
    <t>3.4.6</t>
  </si>
  <si>
    <t>Registro de lecciones aprendidas (1 día: 26/04/27 – 26/04/27)</t>
  </si>
  <si>
    <t>Actividades: 3.4.6.1</t>
  </si>
  <si>
    <t>3.5</t>
  </si>
  <si>
    <t>Tercera Ronda de Talleres – Módulo III "Google Cloud Platform" (Pabellón V) — cuenta de control (164 días: 14/12/26 – 30/06/27)</t>
  </si>
  <si>
    <t>3.5.1</t>
  </si>
  <si>
    <t>Equipo de voluntarios del evento (23 días: 06/05/27 – 01/06/27)</t>
  </si>
  <si>
    <t>Actividades: 3.5.1.1.1, 3.5.1.2.1, 3.5.1.3.1</t>
  </si>
  <si>
    <t>3.5.2</t>
  </si>
  <si>
    <t>Registro de recursos para el evento (160 días: 14/12/26 – 24/06/27)</t>
  </si>
  <si>
    <t>Actividades: 3.5.2.1, 3.5.2.2, 3.5.2.3, 3.5.2.4, 3.5.2.5</t>
  </si>
  <si>
    <t>Sesiones 1 a 7 de 3.5.5.</t>
  </si>
  <si>
    <t xml:space="preserve">    Coffee break del evento de premiación GCP</t>
  </si>
  <si>
    <t>evento</t>
  </si>
  <si>
    <t>Sesión 8 de 3.5.5 (26/06/27).</t>
  </si>
  <si>
    <t xml:space="preserve">    Diplomas impresos para premiados GCP</t>
  </si>
  <si>
    <t>Insignias y certificaciones: programa de Google (S/ 0).</t>
  </si>
  <si>
    <t>3.5.3</t>
  </si>
  <si>
    <t>Control de merchandising (20 días: 03/06/27 – 26/06/27)</t>
  </si>
  <si>
    <t>Actividades: 3.5.3.1</t>
  </si>
  <si>
    <t>3.5.4</t>
  </si>
  <si>
    <t>Sílabos de los talleres (8 días: 18/01/27 – 26/01/27)</t>
  </si>
  <si>
    <t>Actividades: 3.5.4.1, 3.5.4.2</t>
  </si>
  <si>
    <t>3.5.5</t>
  </si>
  <si>
    <t>Informe de asistencia (22 días: 03/06/27 – 30/06/27)</t>
  </si>
  <si>
    <t>Actividades: 3.5.5.1, 3.5.5.2, 3.5.5.3, 3.5.5.4, 3.5.5.5, 3.5.5.6, 3.5.5.7, 3.5.5.8, 3.5.5.9</t>
  </si>
  <si>
    <t>3.5.6</t>
  </si>
  <si>
    <t>Registro de lecciones aprendidas (1 día: 28/06/27 – 28/06/27)</t>
  </si>
  <si>
    <t>Actividades: 3.5.6.1</t>
  </si>
  <si>
    <t>3.6</t>
  </si>
  <si>
    <t>Hackathon "Kachimbo" – Pabellón V (sáb 27/03/2027) — cuenta de control (72 días: 04/01/27 – 30/03/27)</t>
  </si>
  <si>
    <t>3.6.1</t>
  </si>
  <si>
    <t>Equipo de voluntarios del evento (18 días: 02/03/27 – 22/03/27)</t>
  </si>
  <si>
    <t>Actividades: 3.6.1.1.1, 3.6.1.2.1, 3.6.1.3.1</t>
  </si>
  <si>
    <t>3.6.2</t>
  </si>
  <si>
    <t>Registro de recursos para el evento (63 días: 04/01/27 – 17/03/27)</t>
  </si>
  <si>
    <t>Actividades: 3.6.2.1, 3.6.2.2, 3.6.2.3, 3.6.2.4</t>
  </si>
  <si>
    <t xml:space="preserve">    Coffee break para participantes y staff</t>
  </si>
  <si>
    <t>Se confirma en 3.6.2.4 (16–17/03/27).</t>
  </si>
  <si>
    <t xml:space="preserve">    Materiales de trabajo (plumones, papelógrafos, post-its)</t>
  </si>
  <si>
    <t xml:space="preserve">    Impresiones (rúbricas y gafetes)</t>
  </si>
  <si>
    <t>3.6.3</t>
  </si>
  <si>
    <t>Bases y reglamento de la competencia (61 días: 11/01/27 – 22/03/27)</t>
  </si>
  <si>
    <t>Actividades: 3.6.3.1, 3.6.3.2, 3.6.3.3, 3.6.3.4</t>
  </si>
  <si>
    <t>3.6.4</t>
  </si>
  <si>
    <t>Control de merchandising (1 día: 27/03/27 – 27/03/27)</t>
  </si>
  <si>
    <t>Actividades: 3.6.4.1</t>
  </si>
  <si>
    <t>3.6.5</t>
  </si>
  <si>
    <t>Informe de asistencia (3 días: 27/03/27 – 30/03/27)</t>
  </si>
  <si>
    <t>Actividades: 3.6.5.1, 3.6.5.2</t>
  </si>
  <si>
    <t xml:space="preserve">    Mentores</t>
  </si>
  <si>
    <t xml:space="preserve">    Jurados</t>
  </si>
  <si>
    <t>3.6.6</t>
  </si>
  <si>
    <t>Certificados de participación y acta de premiación (2 días: 29/03/27 – 30/03/27)</t>
  </si>
  <si>
    <t>Actividades: 3.6.6.1</t>
  </si>
  <si>
    <t>3.6.7</t>
  </si>
  <si>
    <t>Actividades: 3.6.7.1</t>
  </si>
  <si>
    <t>3.7</t>
  </si>
  <si>
    <t>Competencia de Kaggle – cierre Módulo II (sáb 24/04/2027) — cuenta de control (96 días: 04/01/27 – 27/04/27)</t>
  </si>
  <si>
    <t>3.7.1</t>
  </si>
  <si>
    <t>Equipo de voluntarios del evento (17 días: 01/04/27 – 20/04/27)</t>
  </si>
  <si>
    <t>Actividades: 3.7.1.1.1, 3.7.1.2.1, 3.7.1.3.1</t>
  </si>
  <si>
    <t>3.7.2</t>
  </si>
  <si>
    <t>Registro de recursos para el evento (12 días: 04/01/27 – 16/01/27)</t>
  </si>
  <si>
    <t>Actividades: 3.7.2.1, 3.7.2.2</t>
  </si>
  <si>
    <t xml:space="preserve">    Premios (1.°: S/ 250, 2.°: S/ 150, 3.°: S/ 100)</t>
  </si>
  <si>
    <t>Premios</t>
  </si>
  <si>
    <t>Premios menores confirmados en 3.7.2.2; se entregan en 3.7.5.1.</t>
  </si>
  <si>
    <t>3.7.3</t>
  </si>
  <si>
    <t>Configuración de la competencia en la plataforma (6 días: 03/04/27 – 09/04/27)</t>
  </si>
  <si>
    <t>Actividades: 3.7.3.1, 3.7.3.2</t>
  </si>
  <si>
    <t>3.7.4</t>
  </si>
  <si>
    <t>Bases, dataset y criterios de evaluación (13 días: 18/01/27 – 01/02/27)</t>
  </si>
  <si>
    <t>Actividades: 3.7.4.1, 3.7.4.2, 3.7.4.3</t>
  </si>
  <si>
    <t>3.7.5</t>
  </si>
  <si>
    <t>Control de merchandising (1 día: 24/04/27 – 24/04/27)</t>
  </si>
  <si>
    <t>Actividades: 3.7.5.1</t>
  </si>
  <si>
    <t>3.7.6</t>
  </si>
  <si>
    <t>Informe de participación (9 días: 17/04/27 – 27/04/27)</t>
  </si>
  <si>
    <t>Actividades: 3.7.6.1, 3.7.6.2, 3.7.6.3</t>
  </si>
  <si>
    <t>Monitoreo del leaderboard durante 6 días.</t>
  </si>
  <si>
    <t>3.7.7</t>
  </si>
  <si>
    <t>Certificados de participación y acta de premiación (2 días: 26/04/27 – 27/04/27)</t>
  </si>
  <si>
    <t>Actividades: 3.7.7.1</t>
  </si>
  <si>
    <t>3.7.8</t>
  </si>
  <si>
    <t>Actividades: 3.7.8.1</t>
  </si>
  <si>
    <t>3.8</t>
  </si>
  <si>
    <t>Torneo de Vibecoding – Hackathon de 8 h en Open PUCP (sáb 29/05/2027) — cuenta de control (125 días: 04/01/27 – 01/06/27)</t>
  </si>
  <si>
    <t>3.8.1</t>
  </si>
  <si>
    <t>Equipo de voluntarios del evento (17 días: 06/05/27 – 25/05/27)</t>
  </si>
  <si>
    <t>Actividades: 3.8.1.1.1, 3.8.1.2.1, 3.8.1.3.1</t>
  </si>
  <si>
    <t>3.8.2</t>
  </si>
  <si>
    <t>Registro de recursos para el evento (118 días: 04/01/27 – 24/05/27)</t>
  </si>
  <si>
    <t>Actividades: 3.8.2.1, 3.8.2.2, 3.8.2.3, 3.8.2.4, 3.8.2.5</t>
  </si>
  <si>
    <t xml:space="preserve">    Almuerzo (box lunch) para participantes, staff y jurados</t>
  </si>
  <si>
    <t>comida</t>
  </si>
  <si>
    <t>Se contrata en 3.8.2.3 (06–08/05/27). 100 participantes + 20.</t>
  </si>
  <si>
    <t xml:space="preserve">    Snacks y bebidas</t>
  </si>
  <si>
    <t xml:space="preserve">    Movilidad de jurados</t>
  </si>
  <si>
    <t>Se contrata en 3.8.2.3.</t>
  </si>
  <si>
    <t xml:space="preserve">    Materiales e impresiones</t>
  </si>
  <si>
    <t xml:space="preserve">    Premios (1.°: S/ 250, 2.°: S/ 150, 3.°: S/ 50)</t>
  </si>
  <si>
    <t>3.8.3</t>
  </si>
  <si>
    <t>Bases y criterios de evaluación (90 días: 25/01/27 – 12/05/27)</t>
  </si>
  <si>
    <t>Actividades: 3.8.3.1, 3.8.3.2, 3.8.3.3, 3.8.3.4</t>
  </si>
  <si>
    <t>3.8.4</t>
  </si>
  <si>
    <t>Control de merchandising (1 día: 29/05/27 – 29/05/27)</t>
  </si>
  <si>
    <t>Actividades: 3.8.4.1</t>
  </si>
  <si>
    <t>3.8.5</t>
  </si>
  <si>
    <t>Informe de participación (3 días: 29/05/27 – 01/06/27)</t>
  </si>
  <si>
    <t>Actividades: 3.8.5.1, 3.8.5.2</t>
  </si>
  <si>
    <t>3.8.6</t>
  </si>
  <si>
    <t>Certificados de participación y acta de premiación (2 días: 31/05/27 – 01/06/27)</t>
  </si>
  <si>
    <t>Actividades: 3.8.6.1</t>
  </si>
  <si>
    <t>3.8.7</t>
  </si>
  <si>
    <t>Registro de lecciones aprendidas (1 día: 31/05/27 – 31/05/27)</t>
  </si>
  <si>
    <t>Actividades: 3.8.7.1</t>
  </si>
  <si>
    <t>3.9</t>
  </si>
  <si>
    <t>Hackathon Internacional de 24 horas – NTT Data Perú (31/07 – 01/08/2027) — cuenta de control (174 días: 04/01/27 – 03/08/27)</t>
  </si>
  <si>
    <t>3.9.1</t>
  </si>
  <si>
    <t>Equipo de voluntarios del evento (21 días: 30/06/27 – 24/07/27)</t>
  </si>
  <si>
    <t>Actividades: 3.9.1.1.1, 3.9.1.2.1, 3.9.1.3.1</t>
  </si>
  <si>
    <t>3.9.2</t>
  </si>
  <si>
    <t>Registro de recursos para el evento (159 días: 04/01/27 – 13/07/27)</t>
  </si>
  <si>
    <t>Actividades: 3.9.2.1, 3.9.2.2, 3.9.2.3, 3.9.2.4, 3.9.2.5</t>
  </si>
  <si>
    <t xml:space="preserve">    Catering (pizzas, bocaditos y refrescos)</t>
  </si>
  <si>
    <t>comidas</t>
  </si>
  <si>
    <t>Se contrata en 3.9.2.4 (02–07/07/27). 150 participantes + 20.</t>
  </si>
  <si>
    <t xml:space="preserve">    Snacks y bebidas durante 24 h</t>
  </si>
  <si>
    <t xml:space="preserve">    Seguridad nocturna</t>
  </si>
  <si>
    <t>horas</t>
  </si>
  <si>
    <t>Según el plan de seguridad (3.9.2.2); respuesta a R12.</t>
  </si>
  <si>
    <t xml:space="preserve">    Decoración y señalética</t>
  </si>
  <si>
    <t xml:space="preserve">    Botiquín y protocolo de emergencia</t>
  </si>
  <si>
    <t>Plan de seguridad (3.9.2.2).</t>
  </si>
  <si>
    <t xml:space="preserve">    Insumos eléctricos (extensiones y zapatillas)</t>
  </si>
  <si>
    <t xml:space="preserve">    Premios (1.°: S/ 500, 2.°: S/ 300, 3.°: S/ 200)</t>
  </si>
  <si>
    <t>Se contratan en 3.9.2.4.</t>
  </si>
  <si>
    <t>3.9.3</t>
  </si>
  <si>
    <t>Infraestructura tecnológica y plataforma de transmisión (12 días: 09/07/27 – 22/07/27)</t>
  </si>
  <si>
    <t>Actividades: 3.9.3.1, 3.9.3.2</t>
  </si>
  <si>
    <t xml:space="preserve">    Streaming y videoconferencia (Google Meet / YouTube Live)</t>
  </si>
  <si>
    <t>Sin costo (3.9.3.1).</t>
  </si>
  <si>
    <t>3.9.4</t>
  </si>
  <si>
    <t>Bases y reglamento de la competencia (137 días: 25/01/27 – 08/07/27)</t>
  </si>
  <si>
    <t>Actividades: 3.9.4.1, 3.9.4.2, 3.9.4.3, 3.9.4.4, 3.9.4.5</t>
  </si>
  <si>
    <t>3.9.5</t>
  </si>
  <si>
    <t>Acta de entrega de merchandising (1 día: 31/07/27 – 01/08/27)</t>
  </si>
  <si>
    <t>Actividades: 3.9.5.1</t>
  </si>
  <si>
    <t>3.9.6</t>
  </si>
  <si>
    <t>Informe de asistencia (3 días: 31/07/27 – 03/08/27)</t>
  </si>
  <si>
    <t>Actividades: 3.9.6.1, 3.9.6.2</t>
  </si>
  <si>
    <t>3.9.7</t>
  </si>
  <si>
    <t>Certificados de participación y acta de premiación (2 días: 02/08/27 – 03/08/27)</t>
  </si>
  <si>
    <t>Actividades: 3.9.7.1</t>
  </si>
  <si>
    <t>3.9.8</t>
  </si>
  <si>
    <t>Registro de lecciones aprendidas (1 día: 02/08/27 – 02/08/27)</t>
  </si>
  <si>
    <t>Actividades: 3.9.8.1</t>
  </si>
  <si>
    <t>Total 3. Ejecución</t>
  </si>
  <si>
    <t>4</t>
  </si>
  <si>
    <t>SEGUIMIENTO Y CONTROL</t>
  </si>
  <si>
    <t>4.1</t>
  </si>
  <si>
    <t>Registro de riesgos actualizado (266 días: 28/09/26 – 19/08/27)</t>
  </si>
  <si>
    <t>Actividades: 4.1.1, 4.1.2</t>
  </si>
  <si>
    <t>Reunión semanal: 1.5 h × 44 semanas.</t>
  </si>
  <si>
    <t>4.2</t>
  </si>
  <si>
    <t>Registro de control de cambios (232 días: 02/11/26 – 13/08/27)</t>
  </si>
  <si>
    <t>Actividades: 4.2.1</t>
  </si>
  <si>
    <t>Control de cambios: 0.5 h/sem (GP) y 0.25 h/sem (Patrocinador).</t>
  </si>
  <si>
    <t>4.3</t>
  </si>
  <si>
    <t>Informes de control por evento (104 días: 31/03/27 – 05/08/27) — agrupa 4.3.1 a 4.3.7</t>
  </si>
  <si>
    <t>4.3.1</t>
  </si>
  <si>
    <t>Informe de control de la Primera Ronda de Talleres (1 día: 31/03/27 – 31/03/27)</t>
  </si>
  <si>
    <t>Actividades: 4.3.1.1</t>
  </si>
  <si>
    <t>4.3.2</t>
  </si>
  <si>
    <t>Informe de control de la Segunda Ronda de Talleres (1 día: 28/04/27 – 28/04/27)</t>
  </si>
  <si>
    <t>Actividades: 4.3.2.1</t>
  </si>
  <si>
    <t>4.3.3</t>
  </si>
  <si>
    <t>Informe de control de la Tercera Ronda de Talleres (2 días: 01/07/27 – 02/07/27)</t>
  </si>
  <si>
    <t>Actividades: 4.3.3.1, 4.3.3.2</t>
  </si>
  <si>
    <t>4.3.4</t>
  </si>
  <si>
    <t>Informe de control del Hackathon "Kachimbo" (3 días: 31/03/27 – 02/04/27)</t>
  </si>
  <si>
    <t>Actividades: 4.3.4.1, 4.3.4.2</t>
  </si>
  <si>
    <t>4.3.5</t>
  </si>
  <si>
    <t>Informe de control de la Competencia de Kaggle (3 días: 28/04/27 – 30/04/27)</t>
  </si>
  <si>
    <t>Actividades: 4.3.5.1, 4.3.5.2</t>
  </si>
  <si>
    <t>4.3.6</t>
  </si>
  <si>
    <t>Informe de control del Torneo de Vibecoding (3 días: 02/06/27 – 04/06/27)</t>
  </si>
  <si>
    <t>Actividades: 4.3.6.1, 4.3.6.2</t>
  </si>
  <si>
    <t>4.3.7</t>
  </si>
  <si>
    <t>Informe de control del Hackathon Internacional (2 días: 04/08/27 – 05/08/27)</t>
  </si>
  <si>
    <t>Actividades: 4.3.7.1, 4.3.7.2</t>
  </si>
  <si>
    <t>Total 4. Seguimiento y control</t>
  </si>
  <si>
    <t>5</t>
  </si>
  <si>
    <t>CIERRE</t>
  </si>
  <si>
    <t>5.1</t>
  </si>
  <si>
    <t>Informe Final de Resultados (6 días: 07/08/27 – 13/08/27)</t>
  </si>
  <si>
    <t>Actividades: 5.1.1, 5.1.2</t>
  </si>
  <si>
    <t>5.2</t>
  </si>
  <si>
    <t>Acuerdos cerrados con patrocinadores (13 días: 02/08/27 – 17/08/27)</t>
  </si>
  <si>
    <t>Actividades: 5.2.1, 5.2.2</t>
  </si>
  <si>
    <t>5.3</t>
  </si>
  <si>
    <t>Reporte de lecciones aprendidas con el equipo de voluntarios (8 días: 03/08/27 – 12/08/27)</t>
  </si>
  <si>
    <t>Actividades: 5.3.1, 5.3.2, 5.3.3</t>
  </si>
  <si>
    <t>5.4</t>
  </si>
  <si>
    <t>Cierre administrativo y financiero (16 días: 02/08/27 – 20/08/27)</t>
  </si>
  <si>
    <t>Actividades: 5.4.1, 5.4.2, 5.4.3</t>
  </si>
  <si>
    <t>5.5</t>
  </si>
  <si>
    <t>Repositorio de activos del proyecto transferido (4 días: 14/08/27 – 18/08/27)</t>
  </si>
  <si>
    <t>Actividades: 5.5.1</t>
  </si>
  <si>
    <t>5.6</t>
  </si>
  <si>
    <t>Informe de sugerencias para el siguiente semestre (4 días: 14/08/27 – 18/08/27)</t>
  </si>
  <si>
    <t>Actividades: 5.6.1</t>
  </si>
  <si>
    <t>Total 5. Cierre</t>
  </si>
  <si>
    <t>COSTO DEL PROYECTO (fases 1 a 5)</t>
  </si>
  <si>
    <t>R</t>
  </si>
  <si>
    <t>RESERVA DE CONTINGENCIA (riesgos identificados del Acta)</t>
  </si>
  <si>
    <t>R10</t>
  </si>
  <si>
    <t xml:space="preserve">    Router 4G y paquete de datos de respaldo</t>
  </si>
  <si>
    <t>Reserva (3.8; 3.9)</t>
  </si>
  <si>
    <t>eventos</t>
  </si>
  <si>
    <t>Contingencia</t>
  </si>
  <si>
    <t>Fallas de Wi-Fi o de la máquina virtual. Un equipo por hackathon.</t>
  </si>
  <si>
    <t>R6</t>
  </si>
  <si>
    <t xml:space="preserve">    Traslado a sede alternativa (transporte de equipos y mobiliario)</t>
  </si>
  <si>
    <t>Reserva (3.9)</t>
  </si>
  <si>
    <t>Pérdida de la sede NTT Data; alternativa definida en 3.9.2.1.</t>
  </si>
  <si>
    <t>R4 / R5</t>
  </si>
  <si>
    <t xml:space="preserve">    Reimpresión de piezas y difusión adicional</t>
  </si>
  <si>
    <t>Reserva (3.2)</t>
  </si>
  <si>
    <t>Reprogramación por feriados o demora en espacios.</t>
  </si>
  <si>
    <t>R9 (sec.)</t>
  </si>
  <si>
    <t xml:space="preserve">    Catering para 20 asistentes adicionales</t>
  </si>
  <si>
    <t>Riesgo secundario de la sobre-inscripción (1.5×); tarifa vinculada a 3.9.2. Agregar como R16.</t>
  </si>
  <si>
    <t xml:space="preserve">    Snacks para 30 asistentes adicionales</t>
  </si>
  <si>
    <t>Tarifa vinculada a 3.9.2.</t>
  </si>
  <si>
    <t>Total reserva de contingencia</t>
  </si>
  <si>
    <t>R1 y R2 (financieros) se gestionan con el go/no-go y los tramos de desembolso, no con reserva.</t>
  </si>
  <si>
    <t>Resumen por fase y cuenta de control</t>
  </si>
  <si>
    <t>Monto (S/)</t>
  </si>
  <si>
    <t>Inicio</t>
  </si>
  <si>
    <t>Planificación</t>
  </si>
  <si>
    <t>Patrocinios y adquisiciones</t>
  </si>
  <si>
    <t>Publicidad y difusión</t>
  </si>
  <si>
    <t>Primera Ronda de Talleres – Módulo I "Hack With DSC" (Pabellón V)</t>
  </si>
  <si>
    <t>Segunda Ronda de Talleres – Módulo II "IA y Machine Learning" (Pabellón V)</t>
  </si>
  <si>
    <t>Tercera Ronda de Talleres – Módulo III "Google Cloud Platform" (Pabellón V)</t>
  </si>
  <si>
    <t>Hackathon "Kachimbo" – Pabellón V (sáb 27/03/2027)</t>
  </si>
  <si>
    <t>Competencia de Kaggle – cierre Módulo II (sáb 24/04/2027)</t>
  </si>
  <si>
    <t>Torneo de Vibecoding – Hackathon de 8 h en Open PUCP (sáb 29/05/2027)</t>
  </si>
  <si>
    <t>Hackathon Internacional de 24 horas – NTT Data Perú (31/07 – 01/08/2027)</t>
  </si>
  <si>
    <t>Seguimiento y control</t>
  </si>
  <si>
    <t>Cierre</t>
  </si>
  <si>
    <t>Control (debe ser 0)</t>
  </si>
  <si>
    <t>Esfuerzo total por recurso humano</t>
  </si>
  <si>
    <t>Horas-persona</t>
  </si>
  <si>
    <t>Costo (S/)</t>
  </si>
  <si>
    <t>Resumen del presupuesto (pirámide de la sesión 7)</t>
  </si>
  <si>
    <t>%</t>
  </si>
  <si>
    <t>Costo del proyecto</t>
  </si>
  <si>
    <t>Suma de los entregables de las fases 1 a 5.</t>
  </si>
  <si>
    <t>Reserva de contingencia</t>
  </si>
  <si>
    <t>Riesgos identificados (sección R).</t>
  </si>
  <si>
    <t>Incluye la contingencia; se grafica en la curva S.</t>
  </si>
  <si>
    <t>Reserva de gestión</t>
  </si>
  <si>
    <t>Fuera de la línea base; la libera el Patrocinador.</t>
  </si>
  <si>
    <t>Presupuesto del proyecto</t>
  </si>
  <si>
    <t>Ganancia</t>
  </si>
  <si>
    <t>No aplica: DSC PUCP no vende el servicio; el excedente se mide como superávit.</t>
  </si>
  <si>
    <t>IGV</t>
  </si>
  <si>
    <t>No aplica: programa gratuito (P11).</t>
  </si>
  <si>
    <t>Corrige la plantilla original (sumaba Presupuesto + IGV).</t>
  </si>
  <si>
    <t>Financiamiento y superávit</t>
  </si>
  <si>
    <t>Tope de gasto antes de recibir auspicios.</t>
  </si>
  <si>
    <t>Meta de auspicios corporativos</t>
  </si>
  <si>
    <t>Meta vigente (E3, R1).</t>
  </si>
  <si>
    <t>Total financiamiento</t>
  </si>
  <si>
    <t>Superávit proyectado (financiamiento − total)</t>
  </si>
  <si>
    <t>Mínimo garantizado aun si se consumen ambas reservas.</t>
  </si>
  <si>
    <t>Meta de superávit (acta)</t>
  </si>
  <si>
    <t>¿Cumple la meta de superávit?</t>
  </si>
  <si>
    <t>Si se valoriza el voluntariado, este control deja de aplicar: ese costo es en especie, no se paga con auspicios.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</si>
</sst>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S/ &quot;#,##0.00;&quot;(S/ &quot;#,##0.00\);\-"/>
  </numFmts>
  <fonts count="10">
    <font>
      <sz val="11.0"/>
      <color theme="1"/>
      <name val="Calibri"/>
      <scheme val="minor"/>
    </font>
    <font>
      <b/>
      <sz val="13.0"/>
      <color rgb="FF1F3864"/>
      <name val="Arial"/>
    </font>
    <font>
      <color theme="1"/>
      <name val="Calibri"/>
      <scheme val="minor"/>
    </font>
    <font>
      <i/>
      <sz val="9.0"/>
      <color rgb="FF595959"/>
      <name val="Arial"/>
    </font>
    <font>
      <b/>
      <sz val="10.0"/>
      <color theme="1"/>
      <name val="Arial"/>
    </font>
    <font>
      <b/>
      <sz val="10.0"/>
      <color rgb="FFFFFFFF"/>
      <name val="Arial"/>
    </font>
    <font/>
    <font>
      <sz val="10.0"/>
      <color theme="1"/>
      <name val="Arial"/>
    </font>
    <font>
      <sz val="10.0"/>
      <color rgb="FF0000FF"/>
      <name val="Arial"/>
    </font>
    <font>
      <sz val="10.0"/>
      <color rgb="FF008000"/>
      <name val="Arial"/>
    </font>
  </fonts>
  <fills count="8">
    <fill>
      <patternFill patternType="none"/>
    </fill>
    <fill>
      <patternFill patternType="lightGray"/>
    </fill>
    <fill>
      <patternFill patternType="solid">
        <fgColor rgb="FF1F3864"/>
        <bgColor rgb="FF1F3864"/>
      </patternFill>
    </fill>
    <fill>
      <patternFill patternType="solid">
        <fgColor rgb="FFD9E1F2"/>
        <bgColor rgb="FFD9E1F2"/>
      </patternFill>
    </fill>
    <fill>
      <patternFill patternType="solid">
        <fgColor rgb="FFFFFF00"/>
        <bgColor rgb="FFFFFF00"/>
      </patternFill>
    </fill>
    <fill>
      <patternFill patternType="solid">
        <fgColor rgb="FFEDEDED"/>
        <bgColor rgb="FFEDEDED"/>
      </patternFill>
    </fill>
    <fill>
      <patternFill patternType="solid">
        <fgColor rgb="FFF2F2F2"/>
        <bgColor rgb="FFF2F2F2"/>
      </patternFill>
    </fill>
    <fill>
      <patternFill patternType="solid">
        <fgColor rgb="FFFCE4D6"/>
        <bgColor rgb="FFFCE4D6"/>
      </patternFill>
    </fill>
  </fills>
  <borders count="5">
    <border/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BFBFBF"/>
      </left>
      <top style="thin">
        <color rgb="FFBFBFBF"/>
      </top>
      <bottom style="thin">
        <color rgb="FFBFBFBF"/>
      </bottom>
    </border>
    <border>
      <top style="thin">
        <color rgb="FFBFBFBF"/>
      </top>
      <bottom style="thin">
        <color rgb="FFBFBFBF"/>
      </bottom>
    </border>
    <border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borderId="0" fillId="0" fontId="0" numFmtId="0" applyAlignment="1" applyFont="1"/>
  </cellStyleXfs>
  <cellXfs count="5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2" numFmtId="3" xfId="0" applyFont="1" applyNumberFormat="1"/>
    <xf borderId="0" fillId="0" fontId="3" numFmtId="0" xfId="0" applyAlignment="1" applyFont="1">
      <alignment shrinkToFit="0" vertical="bottom" wrapText="0"/>
    </xf>
    <xf borderId="0" fillId="0" fontId="4" numFmtId="0" xfId="0" applyAlignment="1" applyFont="1">
      <alignment shrinkToFit="0" vertical="center" wrapText="0"/>
    </xf>
    <xf borderId="1" fillId="2" fontId="5" numFmtId="0" xfId="0" applyAlignment="1" applyBorder="1" applyFill="1" applyFont="1">
      <alignment horizontal="center" shrinkToFit="0" vertical="center" wrapText="1"/>
    </xf>
    <xf borderId="2" fillId="2" fontId="5" numFmtId="3" xfId="0" applyAlignment="1" applyBorder="1" applyFill="1" applyFont="1" applyNumberFormat="1">
      <alignment horizontal="center" shrinkToFit="0" vertical="center" wrapText="1"/>
    </xf>
    <xf borderId="1" fillId="2" fontId="5" numFmtId="0" xfId="0" applyAlignment="1" applyBorder="1" applyFill="1" applyFont="1">
      <alignment shrinkToFit="0" vertical="center" wrapText="1"/>
    </xf>
    <xf borderId="3" fillId="0" fontId="6" numFmtId="0" xfId="0" applyBorder="1" applyFont="1"/>
    <xf borderId="4" fillId="0" fontId="6" numFmtId="0" xfId="0" applyBorder="1" applyFont="1"/>
    <xf borderId="1" fillId="3" fontId="4" numFmtId="0" xfId="0" applyAlignment="1" applyBorder="1" applyFill="1" applyFont="1">
      <alignment shrinkToFit="0" vertical="center" wrapText="1"/>
    </xf>
    <xf borderId="1" fillId="0" fontId="7" numFmtId="0" xfId="0" applyAlignment="1" applyBorder="1" applyFont="1">
      <alignment horizontal="center" shrinkToFit="0" vertical="center" wrapText="1"/>
    </xf>
    <xf borderId="1" fillId="3" fontId="7" numFmtId="0" xfId="0" applyAlignment="1" applyBorder="1" applyFill="1" applyFont="1">
      <alignment shrinkToFit="0" vertical="center" wrapText="1"/>
    </xf>
    <xf borderId="1" fillId="0" fontId="7" numFmtId="0" xfId="0" applyAlignment="1" applyBorder="1" applyFont="1">
      <alignment shrinkToFit="0" vertical="center" wrapText="1"/>
    </xf>
    <xf borderId="1" fillId="0" fontId="8" numFmtId="164" xfId="0" applyAlignment="1" applyBorder="1" applyFont="1" applyNumberFormat="1">
      <alignment shrinkToFit="0" vertical="center" wrapText="1"/>
    </xf>
    <xf borderId="1" fillId="4" fontId="8" numFmtId="9" xfId="0" applyAlignment="1" applyBorder="1" applyFill="1" applyFont="1" applyNumberFormat="1">
      <alignment horizontal="center" shrinkToFit="0" vertical="center" wrapText="1"/>
    </xf>
    <xf borderId="2" fillId="0" fontId="7" numFmtId="3" xfId="0" applyAlignment="1" applyBorder="1" applyFont="1" applyNumberFormat="1">
      <alignment shrinkToFit="0" vertical="center" wrapText="1"/>
    </xf>
    <xf borderId="1" fillId="0" fontId="3" numFmtId="0" xfId="0" applyAlignment="1" applyBorder="1" applyFont="1">
      <alignment shrinkToFit="0" vertical="center" wrapText="1"/>
    </xf>
    <xf borderId="1" fillId="0" fontId="9" numFmtId="164" xfId="0" applyAlignment="1" applyBorder="1" applyFont="1" applyNumberFormat="1">
      <alignment shrinkToFit="0" vertical="center" wrapText="1"/>
    </xf>
    <xf borderId="1" fillId="0" fontId="7" numFmtId="164" xfId="0" applyAlignment="1" applyBorder="1" applyFont="1" applyNumberFormat="1">
      <alignment shrinkToFit="0" vertical="center" wrapText="1"/>
    </xf>
    <xf borderId="1" fillId="0" fontId="4" numFmtId="164" xfId="0" applyAlignment="1" applyBorder="1" applyFont="1" applyNumberFormat="1">
      <alignment shrinkToFit="0" vertical="center" wrapText="1"/>
    </xf>
    <xf borderId="1" fillId="0" fontId="4" numFmtId="0" xfId="0" applyAlignment="1" applyBorder="1" applyFont="1">
      <alignment shrinkToFit="0" vertical="center" wrapText="1"/>
    </xf>
    <xf borderId="1" fillId="0" fontId="4" numFmtId="9" xfId="0" applyAlignment="1" applyBorder="1" applyFont="1" applyNumberFormat="1">
      <alignment horizontal="center" shrinkToFit="0" vertical="center" wrapText="1"/>
    </xf>
    <xf borderId="1" fillId="5" fontId="4" numFmtId="0" xfId="0" applyAlignment="1" applyBorder="1" applyFill="1" applyFont="1">
      <alignment shrinkToFit="0" vertical="center" wrapText="1"/>
    </xf>
    <xf borderId="1" fillId="2" fontId="5" numFmtId="3" xfId="0" applyAlignment="1" applyBorder="1" applyFill="1" applyFont="1" applyNumberFormat="1">
      <alignment horizontal="center" shrinkToFit="0" vertical="center" wrapText="1"/>
    </xf>
    <xf borderId="1" fillId="5" fontId="4" numFmtId="164" xfId="0" applyAlignment="1" applyBorder="1" applyFill="1" applyFont="1" applyNumberFormat="1">
      <alignment shrinkToFit="0" vertical="center" wrapText="1"/>
    </xf>
    <xf borderId="1" fillId="3" fontId="4" numFmtId="0" xfId="0" applyAlignment="1" applyBorder="1" applyFill="1" applyFont="1">
      <alignment horizontal="center" shrinkToFit="0" vertical="center" wrapText="1"/>
    </xf>
    <xf borderId="1" fillId="3" fontId="7" numFmtId="3" xfId="0" applyAlignment="1" applyBorder="1" applyFill="1" applyFont="1" applyNumberFormat="1">
      <alignment shrinkToFit="0" vertical="center" wrapText="1"/>
    </xf>
    <xf borderId="1" fillId="6" fontId="4" numFmtId="0" xfId="0" applyAlignment="1" applyBorder="1" applyFill="1" applyFont="1">
      <alignment horizontal="center" shrinkToFit="0" vertical="center" wrapText="1"/>
    </xf>
    <xf borderId="1" fillId="6" fontId="4" numFmtId="0" xfId="0" applyAlignment="1" applyBorder="1" applyFill="1" applyFont="1">
      <alignment shrinkToFit="0" vertical="center" wrapText="1"/>
    </xf>
    <xf borderId="1" fillId="6" fontId="7" numFmtId="0" xfId="0" applyAlignment="1" applyBorder="1" applyFill="1" applyFont="1">
      <alignment shrinkToFit="0" vertical="center" wrapText="1"/>
    </xf>
    <xf borderId="1" fillId="6" fontId="7" numFmtId="3" xfId="0" applyAlignment="1" applyBorder="1" applyFill="1" applyFont="1" applyNumberFormat="1">
      <alignment shrinkToFit="0" vertical="center" wrapText="1"/>
    </xf>
    <xf borderId="0" fillId="0" fontId="4" numFmtId="164" xfId="0" applyAlignment="1" applyFont="1" applyNumberFormat="1">
      <alignment shrinkToFit="0" vertical="bottom" wrapText="0"/>
    </xf>
    <xf borderId="1" fillId="6" fontId="3" numFmtId="0" xfId="0" applyAlignment="1" applyBorder="1" applyFill="1" applyFont="1">
      <alignment shrinkToFit="0" vertical="center" wrapText="1"/>
    </xf>
    <xf borderId="1" fillId="0" fontId="8" numFmtId="3" xfId="0" applyAlignment="1" applyBorder="1" applyFont="1" applyNumberFormat="1">
      <alignment horizontal="center" shrinkToFit="0" vertical="center" wrapText="1"/>
    </xf>
    <xf borderId="1" fillId="0" fontId="7" numFmtId="3" xfId="0" applyAlignment="1" applyBorder="1" applyFont="1" applyNumberFormat="1">
      <alignment shrinkToFit="0" vertical="center" wrapText="1"/>
    </xf>
    <xf borderId="1" fillId="5" fontId="7" numFmtId="0" xfId="0" applyAlignment="1" applyBorder="1" applyFill="1" applyFont="1">
      <alignment shrinkToFit="0" vertical="center" wrapText="1"/>
    </xf>
    <xf borderId="1" fillId="5" fontId="7" numFmtId="3" xfId="0" applyAlignment="1" applyBorder="1" applyFill="1" applyFont="1" applyNumberFormat="1">
      <alignment shrinkToFit="0" vertical="center" wrapText="1"/>
    </xf>
    <xf borderId="1" fillId="5" fontId="4" numFmtId="0" xfId="0" applyAlignment="1" applyBorder="1" applyFill="1" applyFont="1">
      <alignment horizontal="right" shrinkToFit="0" vertical="center" wrapText="0"/>
    </xf>
    <xf borderId="1" fillId="3" fontId="4" numFmtId="164" xfId="0" applyAlignment="1" applyBorder="1" applyFill="1" applyFont="1" applyNumberFormat="1">
      <alignment shrinkToFit="0" vertical="center" wrapText="1"/>
    </xf>
    <xf borderId="1" fillId="0" fontId="8" numFmtId="3" xfId="0" applyAlignment="1" applyBorder="1" applyFont="1" applyNumberFormat="1">
      <alignment shrinkToFit="0" vertical="center" wrapText="1"/>
    </xf>
    <xf borderId="1" fillId="0" fontId="7" numFmtId="0" xfId="0" applyAlignment="1" applyBorder="1" applyFont="1">
      <alignment readingOrder="0" shrinkToFit="0" vertical="center" wrapText="1"/>
    </xf>
    <xf borderId="1" fillId="6" fontId="4" numFmtId="164" xfId="0" applyAlignment="1" applyBorder="1" applyFill="1" applyFont="1" applyNumberFormat="1">
      <alignment shrinkToFit="0" vertical="center" wrapText="1"/>
    </xf>
    <xf borderId="1" fillId="7" fontId="4" numFmtId="0" xfId="0" applyAlignment="1" applyBorder="1" applyFill="1" applyFont="1">
      <alignment horizontal="center" shrinkToFit="0" vertical="center" wrapText="1"/>
    </xf>
    <xf borderId="1" fillId="7" fontId="4" numFmtId="0" xfId="0" applyAlignment="1" applyBorder="1" applyFill="1" applyFont="1">
      <alignment shrinkToFit="0" vertical="center" wrapText="1"/>
    </xf>
    <xf borderId="1" fillId="7" fontId="7" numFmtId="0" xfId="0" applyAlignment="1" applyBorder="1" applyFill="1" applyFont="1">
      <alignment shrinkToFit="0" vertical="center" wrapText="1"/>
    </xf>
    <xf borderId="1" fillId="7" fontId="7" numFmtId="3" xfId="0" applyAlignment="1" applyBorder="1" applyFill="1" applyFont="1" applyNumberFormat="1">
      <alignment shrinkToFit="0" vertical="center" wrapText="1"/>
    </xf>
    <xf borderId="1" fillId="0" fontId="8" numFmtId="3" xfId="0" applyAlignment="1" applyBorder="1" applyFont="1" applyNumberFormat="1">
      <alignment readingOrder="0" shrinkToFit="0" vertical="center" wrapText="1"/>
    </xf>
    <xf borderId="1" fillId="0" fontId="8" numFmtId="3" xfId="0" applyAlignment="1" applyBorder="1" applyFont="1" applyNumberFormat="1">
      <alignment horizontal="center" readingOrder="0" shrinkToFit="0" vertical="center" wrapText="1"/>
    </xf>
    <xf borderId="1" fillId="5" fontId="3" numFmtId="0" xfId="0" applyAlignment="1" applyBorder="1" applyFill="1" applyFont="1">
      <alignment shrinkToFit="0" vertical="center" wrapText="1"/>
    </xf>
    <xf borderId="1" fillId="2" fontId="7" numFmtId="0" xfId="0" applyAlignment="1" applyBorder="1" applyFill="1" applyFont="1">
      <alignment shrinkToFit="0" vertical="center" wrapText="1"/>
    </xf>
    <xf borderId="1" fillId="2" fontId="7" numFmtId="3" xfId="0" applyAlignment="1" applyBorder="1" applyFill="1" applyFont="1" applyNumberFormat="1">
      <alignment shrinkToFit="0" vertical="center" wrapText="1"/>
    </xf>
    <xf borderId="1" fillId="0" fontId="3" numFmtId="0" xfId="0" applyAlignment="1" applyBorder="1" applyFont="1">
      <alignment horizontal="right" shrinkToFit="0" vertical="center" wrapText="0"/>
    </xf>
    <xf borderId="1" fillId="0" fontId="7" numFmtId="3" xfId="0" applyAlignment="1" applyBorder="1" applyFont="1" applyNumberFormat="1">
      <alignment horizontal="center" shrinkToFit="0" vertical="center" wrapText="1"/>
    </xf>
    <xf borderId="1" fillId="0" fontId="8" numFmtId="9" xfId="0" applyAlignment="1" applyBorder="1" applyFont="1" applyNumberFormat="1">
      <alignment horizontal="center" readingOrder="0" shrinkToFit="0" vertical="center" wrapText="1"/>
    </xf>
    <xf borderId="1" fillId="3" fontId="3" numFmtId="0" xfId="0" applyAlignment="1" applyBorder="1" applyFill="1" applyFont="1">
      <alignment shrinkToFit="0" vertical="center" wrapText="1"/>
    </xf>
    <xf borderId="1" fillId="0" fontId="8" numFmtId="9" xfId="0" applyAlignment="1" applyBorder="1" applyFont="1" applyNumberFormat="1">
      <alignment horizontal="center" shrinkToFit="0" vertical="center" wrapText="1"/>
    </xf>
    <xf borderId="1" fillId="4" fontId="8" numFmtId="164" xfId="0" applyAlignment="1" applyBorder="1" applyFill="1" applyFont="1" applyNumberFormat="1">
      <alignment readingOrder="0" shrinkToFit="0" vertical="center" wrapText="1"/>
    </xf>
    <xf borderId="1" fillId="0" fontId="4" numFmtId="0" xfId="0" applyAlignment="1" applyBorder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800">
                <a:solidFill>
                  <a:srgbClr val="000000"/>
                </a:solidFill>
                <a:latin typeface="Calibri"/>
              </a:defRPr>
            </a:pPr>
            <a:r>
              <a:rPr b="1" i="0" sz="1800">
                <a:solidFill>
                  <a:srgbClr val="000000"/>
                </a:solidFill>
                <a:latin typeface="Calibri"/>
              </a:rPr>
              <a:t>Curva S del proyecto</a:t>
            </a:r>
          </a:p>
        </c:rich>
      </c:tx>
      <c:overlay val="0"/>
    </c:title>
    <c:plotArea>
      <c:layout/>
      <c:lineChart>
        <c:ser>
          <c:idx val="0"/>
          <c:order val="0"/>
          <c:tx>
            <c:v>Costo acumulado</c:v>
          </c:tx>
          <c:spPr>
            <a:ln cmpd="sng" w="19050">
              <a:solidFill>
                <a:srgbClr val="4A7EBB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'Curva S'!$A$5:$A$12</c:f>
            </c:strRef>
          </c:cat>
          <c:val>
            <c:numRef>
              <c:f>'Curva S'!$C$5:$C$12</c:f>
              <c:numCache/>
            </c:numRef>
          </c:val>
          <c:smooth val="0"/>
        </c:ser>
        <c:ser>
          <c:idx val="1"/>
          <c:order val="1"/>
          <c:tx>
            <c:v>Línea base de costos</c:v>
          </c:tx>
          <c:spPr>
            <a:ln cmpd="sng" w="19050">
              <a:solidFill>
                <a:srgbClr val="BE4B48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'Curva S'!$A$5:$A$12</c:f>
            </c:strRef>
          </c:cat>
          <c:val>
            <c:numRef>
              <c:f>'Curva S'!$D$5:$D$12</c:f>
              <c:numCache/>
            </c:numRef>
          </c:val>
          <c:smooth val="0"/>
        </c:ser>
        <c:ser>
          <c:idx val="2"/>
          <c:order val="2"/>
          <c:tx>
            <c:v>Financiamiento acumulado</c:v>
          </c:tx>
          <c:spPr>
            <a:ln cmpd="sng" w="19050">
              <a:solidFill>
                <a:srgbClr val="98B855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'Curva S'!$A$5:$A$12</c:f>
            </c:strRef>
          </c:cat>
          <c:val>
            <c:numRef>
              <c:f>'Curva S'!$E$5:$E$12</c:f>
              <c:numCache/>
            </c:numRef>
          </c:val>
          <c:smooth val="0"/>
        </c:ser>
        <c:axId val="1923838691"/>
        <c:axId val="661430629"/>
      </c:lineChart>
      <c:catAx>
        <c:axId val="192383869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Calibri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Calibri"/>
                  </a:rPr>
                  <a:t>Mes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661430629"/>
      </c:catAx>
      <c:valAx>
        <c:axId val="66143062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Calibri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Calibri"/>
                  </a:rPr>
                  <a:t>Soles acumulados</a:t>
                </a:r>
              </a:p>
            </c:rich>
          </c:tx>
          <c:overlay val="0"/>
        </c:title>
        <c:numFmt formatCode="#,##0" sourceLinked="0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1923838691"/>
      </c:valAx>
    </c:plotArea>
    <c:legend>
      <c:legendPos val="r"/>
      <c:overlay val="0"/>
      <c:txPr>
        <a:bodyPr/>
        <a:lstStyle/>
        <a:p>
          <a:pPr lvl="0">
            <a:defRPr b="0" i="0" sz="1000">
              <a:solidFill>
                <a:srgbClr val="000000"/>
              </a:solidFill>
              <a:latin typeface="Calibri"/>
            </a:defRPr>
          </a:pPr>
        </a:p>
      </c:txPr>
    </c:legend>
    <c:plotVisOnly val="1"/>
  </c:chart>
  <c:spPr>
    <a:solidFill>
      <a:srgbClr val="FFFFFF"/>
    </a:solidFill>
  </c:spPr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0</xdr:colOff>
      <xdr:row>2</xdr:row>
      <xdr:rowOff>171450</xdr:rowOff>
    </xdr:from>
    <xdr:ext cx="6172200" cy="3381375"/>
    <xdr:graphicFrame>
      <xdr:nvGraphicFramePr>
        <xdr:cNvPr id="1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xSplit="2.0" topLeftCell="C1" activePane="topRight" state="frozen"/>
      <selection activeCell="D2" sqref="D2" pane="topRight"/>
    </sheetView>
  </sheetViews>
  <sheetFormatPr customHeight="1" defaultColWidth="14.43" defaultRowHeight="15.0"/>
  <cols>
    <col customWidth="1" min="1" max="1" width="10.0"/>
    <col customWidth="1" min="2" max="2" width="52.0"/>
    <col customWidth="1" min="3" max="5" width="11.0"/>
    <col customWidth="1" min="6" max="6" width="7.86"/>
    <col customWidth="1" min="7" max="7" width="13.0"/>
    <col customWidth="1" min="8" max="8" width="14.0"/>
    <col customWidth="1" min="9" max="9" width="16.0"/>
    <col customWidth="1" min="10" max="10" width="58.0"/>
    <col customWidth="1" min="11" max="26" width="8.71"/>
  </cols>
  <sheetData>
    <row r="1">
      <c r="A1" s="1" t="s">
        <v>0</v>
      </c>
      <c r="D1" s="2"/>
      <c r="E1" s="2"/>
      <c r="F1" s="2"/>
    </row>
    <row r="2">
      <c r="D2" s="2"/>
      <c r="E2" s="2"/>
      <c r="F2" s="2"/>
    </row>
    <row r="3">
      <c r="A3" s="4" t="s">
        <v>3</v>
      </c>
      <c r="D3" s="2"/>
      <c r="E3" s="2"/>
      <c r="F3" s="2"/>
    </row>
    <row r="4" ht="30.0" customHeight="1">
      <c r="A4" s="5" t="s">
        <v>5</v>
      </c>
      <c r="B4" s="5" t="s">
        <v>6</v>
      </c>
      <c r="C4" s="5" t="s">
        <v>8</v>
      </c>
      <c r="D4" s="6" t="s">
        <v>11</v>
      </c>
      <c r="E4" s="8"/>
      <c r="F4" s="8"/>
      <c r="G4" s="8"/>
      <c r="H4" s="8"/>
      <c r="I4" s="9"/>
      <c r="J4" s="5" t="s">
        <v>22</v>
      </c>
    </row>
    <row r="5" ht="15.0" customHeight="1">
      <c r="A5" s="11" t="s">
        <v>23</v>
      </c>
      <c r="B5" s="13" t="s">
        <v>24</v>
      </c>
      <c r="C5" s="14">
        <v>0.0</v>
      </c>
      <c r="D5" s="16" t="s">
        <v>26</v>
      </c>
      <c r="E5" s="8"/>
      <c r="F5" s="8"/>
      <c r="G5" s="8"/>
      <c r="H5" s="8"/>
      <c r="I5" s="9"/>
      <c r="J5" s="17"/>
    </row>
    <row r="6" ht="15.0" customHeight="1">
      <c r="A6" s="11" t="s">
        <v>29</v>
      </c>
      <c r="B6" s="13" t="s">
        <v>30</v>
      </c>
      <c r="C6" s="14">
        <v>0.0</v>
      </c>
      <c r="D6" s="16" t="s">
        <v>26</v>
      </c>
      <c r="E6" s="8"/>
      <c r="F6" s="8"/>
      <c r="G6" s="8"/>
      <c r="H6" s="8"/>
      <c r="I6" s="9"/>
      <c r="J6" s="17"/>
    </row>
    <row r="7" ht="15.0" customHeight="1">
      <c r="A7" s="11" t="s">
        <v>31</v>
      </c>
      <c r="B7" s="13" t="s">
        <v>32</v>
      </c>
      <c r="C7" s="14">
        <v>0.0</v>
      </c>
      <c r="D7" s="16" t="s">
        <v>26</v>
      </c>
      <c r="E7" s="8"/>
      <c r="F7" s="8"/>
      <c r="G7" s="8"/>
      <c r="H7" s="8"/>
      <c r="I7" s="9"/>
      <c r="J7" s="17"/>
    </row>
    <row r="8" ht="15.0" customHeight="1">
      <c r="A8" s="11" t="s">
        <v>33</v>
      </c>
      <c r="B8" s="13" t="s">
        <v>34</v>
      </c>
      <c r="C8" s="14">
        <v>0.0</v>
      </c>
      <c r="D8" s="16" t="s">
        <v>26</v>
      </c>
      <c r="E8" s="8"/>
      <c r="F8" s="8"/>
      <c r="G8" s="8"/>
      <c r="H8" s="8"/>
      <c r="I8" s="9"/>
      <c r="J8" s="17"/>
    </row>
    <row r="9" ht="15.0" customHeight="1">
      <c r="A9" s="11" t="s">
        <v>35</v>
      </c>
      <c r="B9" s="13" t="s">
        <v>36</v>
      </c>
      <c r="C9" s="14">
        <v>0.0</v>
      </c>
      <c r="D9" s="16" t="s">
        <v>26</v>
      </c>
      <c r="E9" s="8"/>
      <c r="F9" s="8"/>
      <c r="G9" s="8"/>
      <c r="H9" s="8"/>
      <c r="I9" s="9"/>
      <c r="J9" s="17"/>
    </row>
    <row r="10" ht="15.0" customHeight="1">
      <c r="A10" s="11" t="s">
        <v>37</v>
      </c>
      <c r="B10" s="13" t="s">
        <v>38</v>
      </c>
      <c r="C10" s="14">
        <v>0.0</v>
      </c>
      <c r="D10" s="16" t="s">
        <v>26</v>
      </c>
      <c r="E10" s="8"/>
      <c r="F10" s="8"/>
      <c r="G10" s="8"/>
      <c r="H10" s="8"/>
      <c r="I10" s="9"/>
      <c r="J10" s="17"/>
    </row>
    <row r="11" ht="15.0" customHeight="1">
      <c r="A11" s="11" t="s">
        <v>39</v>
      </c>
      <c r="B11" s="13" t="s">
        <v>40</v>
      </c>
      <c r="C11" s="14">
        <v>0.0</v>
      </c>
      <c r="D11" s="16" t="s">
        <v>26</v>
      </c>
      <c r="E11" s="8"/>
      <c r="F11" s="8"/>
      <c r="G11" s="8"/>
      <c r="H11" s="8"/>
      <c r="I11" s="9"/>
      <c r="J11" s="17"/>
    </row>
    <row r="12" ht="15.0" customHeight="1">
      <c r="A12" s="11" t="s">
        <v>41</v>
      </c>
      <c r="B12" s="13" t="s">
        <v>43</v>
      </c>
      <c r="C12" s="14">
        <v>0.0</v>
      </c>
      <c r="D12" s="16" t="s">
        <v>26</v>
      </c>
      <c r="E12" s="8"/>
      <c r="F12" s="8"/>
      <c r="G12" s="8"/>
      <c r="H12" s="8"/>
      <c r="I12" s="9"/>
      <c r="J12" s="17"/>
    </row>
    <row r="13" ht="15.0" customHeight="1">
      <c r="A13" s="11" t="s">
        <v>46</v>
      </c>
      <c r="B13" s="13" t="s">
        <v>47</v>
      </c>
      <c r="C13" s="14">
        <v>0.0</v>
      </c>
      <c r="D13" s="16" t="s">
        <v>26</v>
      </c>
      <c r="E13" s="8"/>
      <c r="F13" s="8"/>
      <c r="G13" s="8"/>
      <c r="H13" s="8"/>
      <c r="I13" s="9"/>
      <c r="J13" s="17"/>
    </row>
    <row r="14" ht="15.0" customHeight="1">
      <c r="A14" s="11" t="s">
        <v>48</v>
      </c>
      <c r="B14" s="13" t="s">
        <v>49</v>
      </c>
      <c r="C14" s="14">
        <v>0.0</v>
      </c>
      <c r="D14" s="16" t="s">
        <v>26</v>
      </c>
      <c r="E14" s="8"/>
      <c r="F14" s="8"/>
      <c r="G14" s="8"/>
      <c r="H14" s="8"/>
      <c r="I14" s="9"/>
      <c r="J14" s="17"/>
    </row>
    <row r="15" ht="15.0" customHeight="1">
      <c r="A15" s="11" t="s">
        <v>53</v>
      </c>
      <c r="B15" s="13" t="s">
        <v>54</v>
      </c>
      <c r="C15" s="14">
        <v>0.0</v>
      </c>
      <c r="D15" s="16" t="s">
        <v>26</v>
      </c>
      <c r="E15" s="8"/>
      <c r="F15" s="8"/>
      <c r="G15" s="8"/>
      <c r="H15" s="8"/>
      <c r="I15" s="9"/>
      <c r="J15" s="17"/>
    </row>
    <row r="16" ht="15.0" customHeight="1">
      <c r="A16" s="11" t="s">
        <v>55</v>
      </c>
      <c r="B16" s="13" t="s">
        <v>56</v>
      </c>
      <c r="C16" s="14">
        <v>0.0</v>
      </c>
      <c r="D16" s="16" t="s">
        <v>26</v>
      </c>
      <c r="E16" s="8"/>
      <c r="F16" s="8"/>
      <c r="G16" s="8"/>
      <c r="H16" s="8"/>
      <c r="I16" s="9"/>
      <c r="J16" s="17"/>
    </row>
    <row r="17" ht="15.0" customHeight="1">
      <c r="A17" s="11" t="s">
        <v>57</v>
      </c>
      <c r="B17" s="13" t="s">
        <v>58</v>
      </c>
      <c r="C17" s="14">
        <v>0.0</v>
      </c>
      <c r="D17" s="16" t="s">
        <v>26</v>
      </c>
      <c r="E17" s="8"/>
      <c r="F17" s="8"/>
      <c r="G17" s="8"/>
      <c r="H17" s="8"/>
      <c r="I17" s="9"/>
      <c r="J17" s="17"/>
    </row>
    <row r="18" ht="15.0" customHeight="1">
      <c r="A18" s="11" t="s">
        <v>59</v>
      </c>
      <c r="B18" s="13" t="s">
        <v>60</v>
      </c>
      <c r="C18" s="14">
        <v>0.0</v>
      </c>
      <c r="D18" s="16" t="s">
        <v>26</v>
      </c>
      <c r="E18" s="8"/>
      <c r="F18" s="8"/>
      <c r="G18" s="8"/>
      <c r="H18" s="8"/>
      <c r="I18" s="9"/>
      <c r="J18" s="17"/>
    </row>
    <row r="19" ht="15.0" customHeight="1">
      <c r="A19" s="11" t="s">
        <v>62</v>
      </c>
      <c r="B19" s="13" t="s">
        <v>63</v>
      </c>
      <c r="C19" s="14">
        <v>0.0</v>
      </c>
      <c r="D19" s="16" t="s">
        <v>26</v>
      </c>
      <c r="E19" s="8"/>
      <c r="F19" s="8"/>
      <c r="G19" s="8"/>
      <c r="H19" s="8"/>
      <c r="I19" s="9"/>
      <c r="J19" s="17"/>
    </row>
    <row r="20" ht="15.0" customHeight="1">
      <c r="A20" s="11" t="s">
        <v>64</v>
      </c>
      <c r="B20" s="13" t="s">
        <v>65</v>
      </c>
      <c r="C20" s="14">
        <v>0.0</v>
      </c>
      <c r="D20" s="16" t="s">
        <v>66</v>
      </c>
      <c r="E20" s="8"/>
      <c r="F20" s="8"/>
      <c r="G20" s="8"/>
      <c r="H20" s="8"/>
      <c r="I20" s="9"/>
      <c r="J20" s="17"/>
    </row>
    <row r="21" ht="15.75" customHeight="1">
      <c r="D21" s="2"/>
      <c r="E21" s="2"/>
      <c r="F21" s="2"/>
    </row>
    <row r="22" ht="15.75" customHeight="1">
      <c r="A22" s="4" t="s">
        <v>68</v>
      </c>
      <c r="D22" s="2"/>
      <c r="E22" s="2"/>
      <c r="F22" s="2"/>
    </row>
    <row r="23" ht="30.0" customHeight="1">
      <c r="A23" s="5" t="s">
        <v>69</v>
      </c>
      <c r="B23" s="5" t="s">
        <v>70</v>
      </c>
      <c r="C23" s="5" t="s">
        <v>71</v>
      </c>
      <c r="D23" s="24" t="s">
        <v>72</v>
      </c>
      <c r="E23" s="24" t="s">
        <v>73</v>
      </c>
      <c r="F23" s="24" t="s">
        <v>74</v>
      </c>
      <c r="G23" s="5" t="s">
        <v>75</v>
      </c>
      <c r="H23" s="5" t="s">
        <v>76</v>
      </c>
      <c r="I23" s="5" t="s">
        <v>77</v>
      </c>
      <c r="J23" s="5" t="s">
        <v>78</v>
      </c>
    </row>
    <row r="24" ht="15.75" customHeight="1">
      <c r="A24" s="26" t="s">
        <v>79</v>
      </c>
      <c r="B24" s="10" t="s">
        <v>80</v>
      </c>
      <c r="C24" s="12"/>
      <c r="D24" s="27"/>
      <c r="E24" s="27"/>
      <c r="F24" s="27"/>
      <c r="G24" s="12"/>
      <c r="H24" s="12"/>
      <c r="I24" s="12"/>
      <c r="J24" s="12"/>
    </row>
    <row r="25" ht="15.75" customHeight="1">
      <c r="A25" s="28" t="s">
        <v>81</v>
      </c>
      <c r="B25" s="29" t="s">
        <v>83</v>
      </c>
      <c r="C25" s="30"/>
      <c r="D25" s="31"/>
      <c r="E25" s="31"/>
      <c r="F25" s="31"/>
      <c r="G25" s="30"/>
      <c r="H25" s="32">
        <f>SUM(H26:H27)</f>
        <v>0</v>
      </c>
      <c r="I25" s="30"/>
      <c r="J25" s="33" t="s">
        <v>86</v>
      </c>
    </row>
    <row r="26" ht="15.75" customHeight="1">
      <c r="A26" s="13"/>
      <c r="B26" s="13" t="s">
        <v>87</v>
      </c>
      <c r="C26" s="11" t="s">
        <v>79</v>
      </c>
      <c r="D26" s="34">
        <v>1.0</v>
      </c>
      <c r="E26" s="35">
        <f>$C$5</f>
        <v>0</v>
      </c>
      <c r="F26" s="34">
        <v>2.0</v>
      </c>
      <c r="G26" s="11" t="s">
        <v>88</v>
      </c>
      <c r="H26" s="19">
        <f t="shared" ref="H26:H27" si="1">D26*E26*F26</f>
        <v>0</v>
      </c>
      <c r="I26" s="13" t="s">
        <v>89</v>
      </c>
      <c r="J26" s="17"/>
    </row>
    <row r="27" ht="15.75" customHeight="1">
      <c r="A27" s="13"/>
      <c r="B27" s="13" t="s">
        <v>90</v>
      </c>
      <c r="C27" s="11" t="s">
        <v>79</v>
      </c>
      <c r="D27" s="34">
        <v>1.0</v>
      </c>
      <c r="E27" s="35">
        <f>$C$6</f>
        <v>0</v>
      </c>
      <c r="F27" s="34">
        <v>2.0</v>
      </c>
      <c r="G27" s="11" t="s">
        <v>88</v>
      </c>
      <c r="H27" s="19">
        <f t="shared" si="1"/>
        <v>0</v>
      </c>
      <c r="I27" s="13" t="s">
        <v>89</v>
      </c>
      <c r="J27" s="17"/>
    </row>
    <row r="28" ht="15.75" customHeight="1">
      <c r="A28" s="28" t="s">
        <v>91</v>
      </c>
      <c r="B28" s="29" t="s">
        <v>92</v>
      </c>
      <c r="C28" s="30"/>
      <c r="D28" s="31"/>
      <c r="E28" s="31"/>
      <c r="F28" s="31"/>
      <c r="G28" s="30"/>
      <c r="H28" s="32">
        <f>SUM(H29:H31)</f>
        <v>0</v>
      </c>
      <c r="I28" s="30"/>
      <c r="J28" s="33" t="s">
        <v>94</v>
      </c>
    </row>
    <row r="29" ht="15.75" customHeight="1">
      <c r="A29" s="13"/>
      <c r="B29" s="13" t="s">
        <v>87</v>
      </c>
      <c r="C29" s="11" t="s">
        <v>79</v>
      </c>
      <c r="D29" s="34">
        <v>1.0</v>
      </c>
      <c r="E29" s="35">
        <f>$C$5</f>
        <v>0</v>
      </c>
      <c r="F29" s="34">
        <v>2.0</v>
      </c>
      <c r="G29" s="11" t="s">
        <v>88</v>
      </c>
      <c r="H29" s="19">
        <f t="shared" ref="H29:H31" si="2">D29*E29*F29</f>
        <v>0</v>
      </c>
      <c r="I29" s="13" t="s">
        <v>89</v>
      </c>
      <c r="J29" s="17"/>
    </row>
    <row r="30" ht="15.75" customHeight="1">
      <c r="A30" s="13"/>
      <c r="B30" s="13" t="s">
        <v>90</v>
      </c>
      <c r="C30" s="11" t="s">
        <v>79</v>
      </c>
      <c r="D30" s="34">
        <v>1.0</v>
      </c>
      <c r="E30" s="35">
        <f>$C$6</f>
        <v>0</v>
      </c>
      <c r="F30" s="34">
        <v>2.0</v>
      </c>
      <c r="G30" s="11" t="s">
        <v>88</v>
      </c>
      <c r="H30" s="19">
        <f t="shared" si="2"/>
        <v>0</v>
      </c>
      <c r="I30" s="13" t="s">
        <v>89</v>
      </c>
      <c r="J30" s="17"/>
    </row>
    <row r="31" ht="15.75" customHeight="1">
      <c r="A31" s="13"/>
      <c r="B31" s="13" t="s">
        <v>97</v>
      </c>
      <c r="C31" s="11" t="s">
        <v>79</v>
      </c>
      <c r="D31" s="34">
        <v>5.0</v>
      </c>
      <c r="E31" s="35">
        <f>$C$7</f>
        <v>0</v>
      </c>
      <c r="F31" s="34">
        <v>6.0</v>
      </c>
      <c r="G31" s="11" t="s">
        <v>88</v>
      </c>
      <c r="H31" s="19">
        <f t="shared" si="2"/>
        <v>0</v>
      </c>
      <c r="I31" s="13" t="s">
        <v>89</v>
      </c>
      <c r="J31" s="17"/>
    </row>
    <row r="32" ht="15.75" customHeight="1">
      <c r="A32" s="28" t="s">
        <v>99</v>
      </c>
      <c r="B32" s="29" t="s">
        <v>100</v>
      </c>
      <c r="C32" s="30"/>
      <c r="D32" s="31"/>
      <c r="E32" s="31"/>
      <c r="F32" s="31"/>
      <c r="G32" s="30"/>
      <c r="H32" s="32">
        <f>SUM(H33:H34)</f>
        <v>0</v>
      </c>
      <c r="I32" s="30"/>
      <c r="J32" s="33" t="s">
        <v>102</v>
      </c>
    </row>
    <row r="33" ht="15.75" customHeight="1">
      <c r="A33" s="13"/>
      <c r="B33" s="13" t="s">
        <v>90</v>
      </c>
      <c r="C33" s="11" t="s">
        <v>79</v>
      </c>
      <c r="D33" s="34">
        <v>1.0</v>
      </c>
      <c r="E33" s="35">
        <f>$C$6</f>
        <v>0</v>
      </c>
      <c r="F33" s="34">
        <v>24.0</v>
      </c>
      <c r="G33" s="11" t="s">
        <v>88</v>
      </c>
      <c r="H33" s="19">
        <f t="shared" ref="H33:H34" si="3">D33*E33*F33</f>
        <v>0</v>
      </c>
      <c r="I33" s="13" t="s">
        <v>89</v>
      </c>
      <c r="J33" s="17"/>
    </row>
    <row r="34" ht="15.75" customHeight="1">
      <c r="A34" s="13"/>
      <c r="B34" s="13" t="s">
        <v>104</v>
      </c>
      <c r="C34" s="11" t="s">
        <v>79</v>
      </c>
      <c r="D34" s="34">
        <v>1.0</v>
      </c>
      <c r="E34" s="35">
        <f>$C$11</f>
        <v>0</v>
      </c>
      <c r="F34" s="34">
        <v>56.0</v>
      </c>
      <c r="G34" s="11" t="s">
        <v>88</v>
      </c>
      <c r="H34" s="19">
        <f t="shared" si="3"/>
        <v>0</v>
      </c>
      <c r="I34" s="13" t="s">
        <v>89</v>
      </c>
      <c r="J34" s="17"/>
    </row>
    <row r="35" ht="15.75" customHeight="1">
      <c r="A35" s="28" t="s">
        <v>106</v>
      </c>
      <c r="B35" s="29" t="s">
        <v>107</v>
      </c>
      <c r="C35" s="30"/>
      <c r="D35" s="31"/>
      <c r="E35" s="31"/>
      <c r="F35" s="31"/>
      <c r="G35" s="30"/>
      <c r="H35" s="32">
        <f>SUM(H36:H38)</f>
        <v>0</v>
      </c>
      <c r="I35" s="30"/>
      <c r="J35" s="33" t="s">
        <v>109</v>
      </c>
    </row>
    <row r="36" ht="15.75" customHeight="1">
      <c r="A36" s="13"/>
      <c r="B36" s="13" t="s">
        <v>90</v>
      </c>
      <c r="C36" s="11" t="s">
        <v>79</v>
      </c>
      <c r="D36" s="34">
        <v>1.0</v>
      </c>
      <c r="E36" s="35">
        <f>$C$6</f>
        <v>0</v>
      </c>
      <c r="F36" s="34">
        <v>2.0</v>
      </c>
      <c r="G36" s="11" t="s">
        <v>88</v>
      </c>
      <c r="H36" s="19">
        <f t="shared" ref="H36:H38" si="4">D36*E36*F36</f>
        <v>0</v>
      </c>
      <c r="I36" s="13" t="s">
        <v>89</v>
      </c>
      <c r="J36" s="17"/>
    </row>
    <row r="37" ht="15.75" customHeight="1">
      <c r="A37" s="13"/>
      <c r="B37" s="13" t="s">
        <v>97</v>
      </c>
      <c r="C37" s="11" t="s">
        <v>79</v>
      </c>
      <c r="D37" s="34">
        <v>5.0</v>
      </c>
      <c r="E37" s="35">
        <f>$C$7</f>
        <v>0</v>
      </c>
      <c r="F37" s="34">
        <v>10.0</v>
      </c>
      <c r="G37" s="11" t="s">
        <v>88</v>
      </c>
      <c r="H37" s="19">
        <f t="shared" si="4"/>
        <v>0</v>
      </c>
      <c r="I37" s="13" t="s">
        <v>89</v>
      </c>
      <c r="J37" s="17"/>
    </row>
    <row r="38" ht="15.75" customHeight="1">
      <c r="A38" s="13"/>
      <c r="B38" s="13" t="s">
        <v>111</v>
      </c>
      <c r="C38" s="11" t="s">
        <v>79</v>
      </c>
      <c r="D38" s="34">
        <v>7.0</v>
      </c>
      <c r="E38" s="35">
        <f>$C$8</f>
        <v>0</v>
      </c>
      <c r="F38" s="34">
        <v>2.0</v>
      </c>
      <c r="G38" s="11" t="s">
        <v>88</v>
      </c>
      <c r="H38" s="19">
        <f t="shared" si="4"/>
        <v>0</v>
      </c>
      <c r="I38" s="13" t="s">
        <v>89</v>
      </c>
      <c r="J38" s="17"/>
    </row>
    <row r="39" ht="15.75" customHeight="1">
      <c r="A39" s="36"/>
      <c r="B39" s="36"/>
      <c r="C39" s="36"/>
      <c r="D39" s="37"/>
      <c r="E39" s="37"/>
      <c r="F39" s="37"/>
      <c r="G39" s="38" t="s">
        <v>112</v>
      </c>
      <c r="H39" s="25">
        <f>H25+H28+H32+H35</f>
        <v>0</v>
      </c>
      <c r="I39" s="36"/>
      <c r="J39" s="36"/>
    </row>
    <row r="40" ht="15.75" customHeight="1">
      <c r="A40" s="26" t="s">
        <v>114</v>
      </c>
      <c r="B40" s="10" t="s">
        <v>115</v>
      </c>
      <c r="C40" s="12"/>
      <c r="D40" s="27"/>
      <c r="E40" s="27"/>
      <c r="F40" s="27"/>
      <c r="G40" s="12"/>
      <c r="H40" s="12"/>
      <c r="I40" s="12"/>
      <c r="J40" s="12"/>
    </row>
    <row r="41" ht="15.75" customHeight="1">
      <c r="A41" s="28" t="s">
        <v>116</v>
      </c>
      <c r="B41" s="29" t="s">
        <v>117</v>
      </c>
      <c r="C41" s="30"/>
      <c r="D41" s="31"/>
      <c r="E41" s="31"/>
      <c r="F41" s="31"/>
      <c r="G41" s="30"/>
      <c r="H41" s="32">
        <f>SUM(H42:H45)</f>
        <v>0</v>
      </c>
      <c r="I41" s="30"/>
      <c r="J41" s="33" t="s">
        <v>118</v>
      </c>
    </row>
    <row r="42" ht="15.75" customHeight="1">
      <c r="A42" s="13"/>
      <c r="B42" s="13" t="s">
        <v>87</v>
      </c>
      <c r="C42" s="11" t="s">
        <v>114</v>
      </c>
      <c r="D42" s="34">
        <v>1.0</v>
      </c>
      <c r="E42" s="35">
        <f>$C$5</f>
        <v>0</v>
      </c>
      <c r="F42" s="34">
        <v>2.0</v>
      </c>
      <c r="G42" s="11" t="s">
        <v>88</v>
      </c>
      <c r="H42" s="19">
        <f t="shared" ref="H42:H45" si="5">D42*E42*F42</f>
        <v>0</v>
      </c>
      <c r="I42" s="13" t="s">
        <v>89</v>
      </c>
      <c r="J42" s="17"/>
    </row>
    <row r="43" ht="15.75" customHeight="1">
      <c r="A43" s="13"/>
      <c r="B43" s="13" t="s">
        <v>90</v>
      </c>
      <c r="C43" s="11" t="s">
        <v>114</v>
      </c>
      <c r="D43" s="34">
        <v>1.0</v>
      </c>
      <c r="E43" s="35">
        <f>$C$6</f>
        <v>0</v>
      </c>
      <c r="F43" s="34">
        <v>18.0</v>
      </c>
      <c r="G43" s="11" t="s">
        <v>88</v>
      </c>
      <c r="H43" s="19">
        <f t="shared" si="5"/>
        <v>0</v>
      </c>
      <c r="I43" s="13" t="s">
        <v>89</v>
      </c>
      <c r="J43" s="17"/>
    </row>
    <row r="44" ht="15.75" customHeight="1">
      <c r="A44" s="13"/>
      <c r="B44" s="13" t="s">
        <v>97</v>
      </c>
      <c r="C44" s="11" t="s">
        <v>114</v>
      </c>
      <c r="D44" s="34">
        <v>5.0</v>
      </c>
      <c r="E44" s="35">
        <f>$C$7</f>
        <v>0</v>
      </c>
      <c r="F44" s="34">
        <v>10.0</v>
      </c>
      <c r="G44" s="11" t="s">
        <v>88</v>
      </c>
      <c r="H44" s="19">
        <f t="shared" si="5"/>
        <v>0</v>
      </c>
      <c r="I44" s="13" t="s">
        <v>89</v>
      </c>
      <c r="J44" s="17"/>
    </row>
    <row r="45" ht="15.75" customHeight="1">
      <c r="A45" s="13"/>
      <c r="B45" s="13" t="s">
        <v>111</v>
      </c>
      <c r="C45" s="11" t="s">
        <v>114</v>
      </c>
      <c r="D45" s="34">
        <v>7.0</v>
      </c>
      <c r="E45" s="35">
        <f>$C$8</f>
        <v>0</v>
      </c>
      <c r="F45" s="34">
        <v>6.0</v>
      </c>
      <c r="G45" s="11" t="s">
        <v>88</v>
      </c>
      <c r="H45" s="19">
        <f t="shared" si="5"/>
        <v>0</v>
      </c>
      <c r="I45" s="13" t="s">
        <v>89</v>
      </c>
      <c r="J45" s="17"/>
    </row>
    <row r="46" ht="15.75" customHeight="1">
      <c r="A46" s="28" t="s">
        <v>124</v>
      </c>
      <c r="B46" s="29" t="s">
        <v>126</v>
      </c>
      <c r="C46" s="30"/>
      <c r="D46" s="31"/>
      <c r="E46" s="31"/>
      <c r="F46" s="31"/>
      <c r="G46" s="30"/>
      <c r="H46" s="32">
        <f>SUM(H47:H50)</f>
        <v>0</v>
      </c>
      <c r="I46" s="30"/>
      <c r="J46" s="33" t="s">
        <v>128</v>
      </c>
    </row>
    <row r="47" ht="15.75" customHeight="1">
      <c r="A47" s="13"/>
      <c r="B47" s="13" t="s">
        <v>97</v>
      </c>
      <c r="C47" s="11" t="s">
        <v>114</v>
      </c>
      <c r="D47" s="34">
        <v>5.0</v>
      </c>
      <c r="E47" s="35">
        <f>$C$7</f>
        <v>0</v>
      </c>
      <c r="F47" s="34">
        <v>18.0</v>
      </c>
      <c r="G47" s="11" t="s">
        <v>88</v>
      </c>
      <c r="H47" s="19">
        <f t="shared" ref="H47:H50" si="6">D47*E47*F47</f>
        <v>0</v>
      </c>
      <c r="I47" s="13" t="s">
        <v>89</v>
      </c>
      <c r="J47" s="17"/>
    </row>
    <row r="48" ht="15.75" customHeight="1">
      <c r="A48" s="13"/>
      <c r="B48" s="13" t="s">
        <v>111</v>
      </c>
      <c r="C48" s="11" t="s">
        <v>114</v>
      </c>
      <c r="D48" s="34">
        <v>7.0</v>
      </c>
      <c r="E48" s="35">
        <f>$C$8</f>
        <v>0</v>
      </c>
      <c r="F48" s="34">
        <v>8.0</v>
      </c>
      <c r="G48" s="11" t="s">
        <v>88</v>
      </c>
      <c r="H48" s="19">
        <f t="shared" si="6"/>
        <v>0</v>
      </c>
      <c r="I48" s="13" t="s">
        <v>89</v>
      </c>
      <c r="J48" s="17"/>
    </row>
    <row r="49" ht="15.75" customHeight="1">
      <c r="A49" s="13"/>
      <c r="B49" s="13" t="s">
        <v>129</v>
      </c>
      <c r="C49" s="11" t="s">
        <v>114</v>
      </c>
      <c r="D49" s="34">
        <v>1.0</v>
      </c>
      <c r="E49" s="35">
        <f>$C$9</f>
        <v>0</v>
      </c>
      <c r="F49" s="34">
        <v>6.0</v>
      </c>
      <c r="G49" s="11" t="s">
        <v>88</v>
      </c>
      <c r="H49" s="19">
        <f t="shared" si="6"/>
        <v>0</v>
      </c>
      <c r="I49" s="13" t="s">
        <v>89</v>
      </c>
      <c r="J49" s="17"/>
    </row>
    <row r="50" ht="15.75" customHeight="1">
      <c r="A50" s="13"/>
      <c r="B50" s="13" t="s">
        <v>130</v>
      </c>
      <c r="C50" s="11" t="s">
        <v>114</v>
      </c>
      <c r="D50" s="34">
        <v>1.0</v>
      </c>
      <c r="E50" s="35">
        <f>$C$12</f>
        <v>0</v>
      </c>
      <c r="F50" s="34">
        <v>6.0</v>
      </c>
      <c r="G50" s="11" t="s">
        <v>88</v>
      </c>
      <c r="H50" s="19">
        <f t="shared" si="6"/>
        <v>0</v>
      </c>
      <c r="I50" s="13" t="s">
        <v>89</v>
      </c>
      <c r="J50" s="17"/>
    </row>
    <row r="51" ht="15.75" customHeight="1">
      <c r="A51" s="28" t="s">
        <v>131</v>
      </c>
      <c r="B51" s="29" t="s">
        <v>132</v>
      </c>
      <c r="C51" s="30"/>
      <c r="D51" s="31"/>
      <c r="E51" s="31"/>
      <c r="F51" s="31"/>
      <c r="G51" s="30"/>
      <c r="H51" s="32">
        <f>SUM(H52:H54)</f>
        <v>0</v>
      </c>
      <c r="I51" s="30"/>
      <c r="J51" s="33" t="s">
        <v>133</v>
      </c>
    </row>
    <row r="52" ht="15.75" customHeight="1">
      <c r="A52" s="13"/>
      <c r="B52" s="13" t="s">
        <v>90</v>
      </c>
      <c r="C52" s="11" t="s">
        <v>114</v>
      </c>
      <c r="D52" s="34">
        <v>1.0</v>
      </c>
      <c r="E52" s="35">
        <f>$C$6</f>
        <v>0</v>
      </c>
      <c r="F52" s="34">
        <v>12.0</v>
      </c>
      <c r="G52" s="11" t="s">
        <v>88</v>
      </c>
      <c r="H52" s="19">
        <f t="shared" ref="H52:H54" si="7">D52*E52*F52</f>
        <v>0</v>
      </c>
      <c r="I52" s="13" t="s">
        <v>89</v>
      </c>
      <c r="J52" s="17"/>
    </row>
    <row r="53" ht="15.75" customHeight="1">
      <c r="A53" s="13"/>
      <c r="B53" s="13" t="s">
        <v>97</v>
      </c>
      <c r="C53" s="11" t="s">
        <v>114</v>
      </c>
      <c r="D53" s="34">
        <v>5.0</v>
      </c>
      <c r="E53" s="35">
        <f>$C$7</f>
        <v>0</v>
      </c>
      <c r="F53" s="34">
        <v>20.0</v>
      </c>
      <c r="G53" s="11" t="s">
        <v>88</v>
      </c>
      <c r="H53" s="19">
        <f t="shared" si="7"/>
        <v>0</v>
      </c>
      <c r="I53" s="13" t="s">
        <v>89</v>
      </c>
      <c r="J53" s="17"/>
    </row>
    <row r="54" ht="15.75" customHeight="1">
      <c r="A54" s="13"/>
      <c r="B54" s="13" t="s">
        <v>135</v>
      </c>
      <c r="C54" s="11" t="s">
        <v>114</v>
      </c>
      <c r="D54" s="34">
        <v>1.0</v>
      </c>
      <c r="E54" s="35">
        <f>$C$13</f>
        <v>0</v>
      </c>
      <c r="F54" s="34">
        <v>8.0</v>
      </c>
      <c r="G54" s="11" t="s">
        <v>88</v>
      </c>
      <c r="H54" s="19">
        <f t="shared" si="7"/>
        <v>0</v>
      </c>
      <c r="I54" s="13" t="s">
        <v>89</v>
      </c>
      <c r="J54" s="17"/>
    </row>
    <row r="55" ht="15.75" customHeight="1">
      <c r="A55" s="28" t="s">
        <v>139</v>
      </c>
      <c r="B55" s="29" t="s">
        <v>140</v>
      </c>
      <c r="C55" s="30"/>
      <c r="D55" s="31"/>
      <c r="E55" s="31"/>
      <c r="F55" s="31"/>
      <c r="G55" s="30"/>
      <c r="H55" s="32">
        <f>SUM(H56:H57)</f>
        <v>0</v>
      </c>
      <c r="I55" s="30"/>
      <c r="J55" s="33" t="s">
        <v>145</v>
      </c>
    </row>
    <row r="56" ht="15.75" customHeight="1">
      <c r="A56" s="13"/>
      <c r="B56" s="13" t="s">
        <v>90</v>
      </c>
      <c r="C56" s="11" t="s">
        <v>114</v>
      </c>
      <c r="D56" s="34">
        <v>1.0</v>
      </c>
      <c r="E56" s="35">
        <f>$C$6</f>
        <v>0</v>
      </c>
      <c r="F56" s="34">
        <v>6.0</v>
      </c>
      <c r="G56" s="11" t="s">
        <v>88</v>
      </c>
      <c r="H56" s="19">
        <f t="shared" ref="H56:H57" si="8">D56*E56*F56</f>
        <v>0</v>
      </c>
      <c r="I56" s="13" t="s">
        <v>89</v>
      </c>
      <c r="J56" s="17"/>
    </row>
    <row r="57" ht="15.75" customHeight="1">
      <c r="A57" s="13"/>
      <c r="B57" s="13" t="s">
        <v>146</v>
      </c>
      <c r="C57" s="11" t="s">
        <v>114</v>
      </c>
      <c r="D57" s="34">
        <v>1.0</v>
      </c>
      <c r="E57" s="35">
        <f>$C$10</f>
        <v>0</v>
      </c>
      <c r="F57" s="34">
        <v>14.0</v>
      </c>
      <c r="G57" s="11" t="s">
        <v>88</v>
      </c>
      <c r="H57" s="19">
        <f t="shared" si="8"/>
        <v>0</v>
      </c>
      <c r="I57" s="13" t="s">
        <v>89</v>
      </c>
      <c r="J57" s="17"/>
    </row>
    <row r="58" ht="15.75" customHeight="1">
      <c r="A58" s="28" t="s">
        <v>147</v>
      </c>
      <c r="B58" s="29" t="s">
        <v>148</v>
      </c>
      <c r="C58" s="30"/>
      <c r="D58" s="31"/>
      <c r="E58" s="31"/>
      <c r="F58" s="31"/>
      <c r="G58" s="30"/>
      <c r="H58" s="32">
        <f>SUM(H59)</f>
        <v>0</v>
      </c>
      <c r="I58" s="30"/>
      <c r="J58" s="33" t="s">
        <v>149</v>
      </c>
    </row>
    <row r="59" ht="15.75" customHeight="1">
      <c r="A59" s="13"/>
      <c r="B59" s="13" t="s">
        <v>97</v>
      </c>
      <c r="C59" s="11" t="s">
        <v>114</v>
      </c>
      <c r="D59" s="34">
        <v>5.0</v>
      </c>
      <c r="E59" s="35">
        <f>$C$7</f>
        <v>0</v>
      </c>
      <c r="F59" s="34">
        <v>16.0</v>
      </c>
      <c r="G59" s="11" t="s">
        <v>88</v>
      </c>
      <c r="H59" s="19">
        <f>D59*E59*F59</f>
        <v>0</v>
      </c>
      <c r="I59" s="13" t="s">
        <v>89</v>
      </c>
      <c r="J59" s="17"/>
    </row>
    <row r="60" ht="15.75" customHeight="1">
      <c r="A60" s="28" t="s">
        <v>150</v>
      </c>
      <c r="B60" s="29" t="s">
        <v>151</v>
      </c>
      <c r="C60" s="30"/>
      <c r="D60" s="31"/>
      <c r="E60" s="31"/>
      <c r="F60" s="31"/>
      <c r="G60" s="30"/>
      <c r="H60" s="32">
        <f>SUM(H61:H62)</f>
        <v>0</v>
      </c>
      <c r="I60" s="30"/>
      <c r="J60" s="33" t="s">
        <v>153</v>
      </c>
    </row>
    <row r="61" ht="15.75" customHeight="1">
      <c r="A61" s="13"/>
      <c r="B61" s="13" t="s">
        <v>129</v>
      </c>
      <c r="C61" s="11" t="s">
        <v>114</v>
      </c>
      <c r="D61" s="34">
        <v>1.0</v>
      </c>
      <c r="E61" s="35">
        <f>$C$9</f>
        <v>0</v>
      </c>
      <c r="F61" s="34">
        <v>16.0</v>
      </c>
      <c r="G61" s="11" t="s">
        <v>88</v>
      </c>
      <c r="H61" s="19">
        <f t="shared" ref="H61:H62" si="9">D61*E61*F61</f>
        <v>0</v>
      </c>
      <c r="I61" s="13" t="s">
        <v>89</v>
      </c>
      <c r="J61" s="17"/>
    </row>
    <row r="62" ht="15.75" customHeight="1">
      <c r="A62" s="13"/>
      <c r="B62" s="13" t="s">
        <v>130</v>
      </c>
      <c r="C62" s="11" t="s">
        <v>114</v>
      </c>
      <c r="D62" s="34">
        <v>1.0</v>
      </c>
      <c r="E62" s="35">
        <f>$C$12</f>
        <v>0</v>
      </c>
      <c r="F62" s="34">
        <v>24.0</v>
      </c>
      <c r="G62" s="11" t="s">
        <v>88</v>
      </c>
      <c r="H62" s="19">
        <f t="shared" si="9"/>
        <v>0</v>
      </c>
      <c r="I62" s="13" t="s">
        <v>89</v>
      </c>
      <c r="J62" s="17"/>
    </row>
    <row r="63" ht="15.75" customHeight="1">
      <c r="A63" s="28" t="s">
        <v>154</v>
      </c>
      <c r="B63" s="29" t="s">
        <v>155</v>
      </c>
      <c r="C63" s="30"/>
      <c r="D63" s="31"/>
      <c r="E63" s="31"/>
      <c r="F63" s="31"/>
      <c r="G63" s="30"/>
      <c r="H63" s="32">
        <f>SUM(H64:H65)</f>
        <v>0</v>
      </c>
      <c r="I63" s="30"/>
      <c r="J63" s="33" t="s">
        <v>156</v>
      </c>
    </row>
    <row r="64" ht="15.75" customHeight="1">
      <c r="A64" s="13"/>
      <c r="B64" s="13" t="s">
        <v>90</v>
      </c>
      <c r="C64" s="11" t="s">
        <v>114</v>
      </c>
      <c r="D64" s="34">
        <v>1.0</v>
      </c>
      <c r="E64" s="35">
        <f>$C$6</f>
        <v>0</v>
      </c>
      <c r="F64" s="34">
        <v>8.0</v>
      </c>
      <c r="G64" s="11" t="s">
        <v>88</v>
      </c>
      <c r="H64" s="19">
        <f t="shared" ref="H64:H65" si="10">D64*E64*F64</f>
        <v>0</v>
      </c>
      <c r="I64" s="13" t="s">
        <v>89</v>
      </c>
      <c r="J64" s="17"/>
    </row>
    <row r="65" ht="15.75" customHeight="1">
      <c r="A65" s="13"/>
      <c r="B65" s="13" t="s">
        <v>135</v>
      </c>
      <c r="C65" s="11" t="s">
        <v>114</v>
      </c>
      <c r="D65" s="34">
        <v>1.0</v>
      </c>
      <c r="E65" s="35">
        <f>$C$13</f>
        <v>0</v>
      </c>
      <c r="F65" s="34">
        <v>16.0</v>
      </c>
      <c r="G65" s="11" t="s">
        <v>88</v>
      </c>
      <c r="H65" s="19">
        <f t="shared" si="10"/>
        <v>0</v>
      </c>
      <c r="I65" s="13" t="s">
        <v>89</v>
      </c>
      <c r="J65" s="17"/>
    </row>
    <row r="66" ht="15.75" customHeight="1">
      <c r="A66" s="28" t="s">
        <v>158</v>
      </c>
      <c r="B66" s="29" t="s">
        <v>159</v>
      </c>
      <c r="C66" s="30"/>
      <c r="D66" s="31"/>
      <c r="E66" s="31"/>
      <c r="F66" s="31"/>
      <c r="G66" s="30"/>
      <c r="H66" s="32">
        <f>SUM(H67:H69)</f>
        <v>0</v>
      </c>
      <c r="I66" s="30"/>
      <c r="J66" s="33" t="s">
        <v>161</v>
      </c>
    </row>
    <row r="67" ht="15.75" customHeight="1">
      <c r="A67" s="13"/>
      <c r="B67" s="13" t="s">
        <v>90</v>
      </c>
      <c r="C67" s="11" t="s">
        <v>114</v>
      </c>
      <c r="D67" s="34">
        <v>1.0</v>
      </c>
      <c r="E67" s="35">
        <f>$C$6</f>
        <v>0</v>
      </c>
      <c r="F67" s="34">
        <v>14.0</v>
      </c>
      <c r="G67" s="11" t="s">
        <v>88</v>
      </c>
      <c r="H67" s="19">
        <f t="shared" ref="H67:H69" si="11">D67*E67*F67</f>
        <v>0</v>
      </c>
      <c r="I67" s="13" t="s">
        <v>89</v>
      </c>
      <c r="J67" s="17"/>
    </row>
    <row r="68" ht="15.75" customHeight="1">
      <c r="A68" s="13"/>
      <c r="B68" s="13" t="s">
        <v>97</v>
      </c>
      <c r="C68" s="11" t="s">
        <v>114</v>
      </c>
      <c r="D68" s="34">
        <v>5.0</v>
      </c>
      <c r="E68" s="35">
        <f>$C$7</f>
        <v>0</v>
      </c>
      <c r="F68" s="34">
        <v>8.0</v>
      </c>
      <c r="G68" s="11" t="s">
        <v>88</v>
      </c>
      <c r="H68" s="19">
        <f t="shared" si="11"/>
        <v>0</v>
      </c>
      <c r="I68" s="13" t="s">
        <v>89</v>
      </c>
      <c r="J68" s="17"/>
    </row>
    <row r="69" ht="15.75" customHeight="1">
      <c r="A69" s="13"/>
      <c r="B69" s="13" t="s">
        <v>130</v>
      </c>
      <c r="C69" s="11" t="s">
        <v>114</v>
      </c>
      <c r="D69" s="34">
        <v>1.0</v>
      </c>
      <c r="E69" s="35">
        <f>$C$12</f>
        <v>0</v>
      </c>
      <c r="F69" s="34">
        <v>6.0</v>
      </c>
      <c r="G69" s="11" t="s">
        <v>88</v>
      </c>
      <c r="H69" s="19">
        <f t="shared" si="11"/>
        <v>0</v>
      </c>
      <c r="I69" s="13" t="s">
        <v>89</v>
      </c>
      <c r="J69" s="17"/>
    </row>
    <row r="70" ht="15.75" customHeight="1">
      <c r="A70" s="28" t="s">
        <v>163</v>
      </c>
      <c r="B70" s="29" t="s">
        <v>164</v>
      </c>
      <c r="C70" s="30"/>
      <c r="D70" s="31"/>
      <c r="E70" s="31"/>
      <c r="F70" s="31"/>
      <c r="G70" s="30"/>
      <c r="H70" s="32">
        <f>SUM(H71:H72)</f>
        <v>0</v>
      </c>
      <c r="I70" s="30"/>
      <c r="J70" s="33" t="s">
        <v>165</v>
      </c>
    </row>
    <row r="71" ht="15.75" customHeight="1">
      <c r="A71" s="13"/>
      <c r="B71" s="13" t="s">
        <v>104</v>
      </c>
      <c r="C71" s="11" t="s">
        <v>114</v>
      </c>
      <c r="D71" s="34">
        <v>1.0</v>
      </c>
      <c r="E71" s="35">
        <f>$C$11</f>
        <v>0</v>
      </c>
      <c r="F71" s="34">
        <v>10.0</v>
      </c>
      <c r="G71" s="11" t="s">
        <v>88</v>
      </c>
      <c r="H71" s="19">
        <f t="shared" ref="H71:H72" si="12">D71*E71*F71</f>
        <v>0</v>
      </c>
      <c r="I71" s="13" t="s">
        <v>89</v>
      </c>
      <c r="J71" s="17"/>
    </row>
    <row r="72" ht="15.75" customHeight="1">
      <c r="A72" s="13"/>
      <c r="B72" s="13" t="s">
        <v>130</v>
      </c>
      <c r="C72" s="11" t="s">
        <v>114</v>
      </c>
      <c r="D72" s="34">
        <v>1.0</v>
      </c>
      <c r="E72" s="35">
        <f>$C$12</f>
        <v>0</v>
      </c>
      <c r="F72" s="34">
        <v>16.0</v>
      </c>
      <c r="G72" s="11" t="s">
        <v>88</v>
      </c>
      <c r="H72" s="19">
        <f t="shared" si="12"/>
        <v>0</v>
      </c>
      <c r="I72" s="13" t="s">
        <v>89</v>
      </c>
      <c r="J72" s="17"/>
    </row>
    <row r="73" ht="15.75" customHeight="1">
      <c r="A73" s="36"/>
      <c r="B73" s="36"/>
      <c r="C73" s="36"/>
      <c r="D73" s="37"/>
      <c r="E73" s="37"/>
      <c r="F73" s="37"/>
      <c r="G73" s="38" t="s">
        <v>168</v>
      </c>
      <c r="H73" s="25">
        <f>H41+H46+H51+H55+H58+H60+H63+H66+H70</f>
        <v>0</v>
      </c>
      <c r="I73" s="36"/>
      <c r="J73" s="36"/>
    </row>
    <row r="74" ht="15.75" customHeight="1">
      <c r="A74" s="26" t="s">
        <v>169</v>
      </c>
      <c r="B74" s="10" t="s">
        <v>170</v>
      </c>
      <c r="C74" s="12"/>
      <c r="D74" s="27"/>
      <c r="E74" s="27"/>
      <c r="F74" s="27"/>
      <c r="G74" s="12"/>
      <c r="H74" s="12"/>
      <c r="I74" s="12"/>
      <c r="J74" s="12"/>
    </row>
    <row r="75" ht="15.75" customHeight="1">
      <c r="A75" s="26" t="s">
        <v>171</v>
      </c>
      <c r="B75" s="10" t="s">
        <v>172</v>
      </c>
      <c r="C75" s="12"/>
      <c r="D75" s="27"/>
      <c r="E75" s="27"/>
      <c r="F75" s="27"/>
      <c r="G75" s="12"/>
      <c r="H75" s="39">
        <f>H76+H82+H86</f>
        <v>1490</v>
      </c>
      <c r="I75" s="12"/>
      <c r="J75" s="12"/>
    </row>
    <row r="76" ht="15.75" customHeight="1">
      <c r="A76" s="28" t="s">
        <v>174</v>
      </c>
      <c r="B76" s="29" t="s">
        <v>175</v>
      </c>
      <c r="C76" s="30"/>
      <c r="D76" s="31"/>
      <c r="E76" s="31"/>
      <c r="F76" s="31"/>
      <c r="G76" s="30"/>
      <c r="H76" s="32">
        <f>SUM(H77:H81)</f>
        <v>0</v>
      </c>
      <c r="I76" s="30"/>
      <c r="J76" s="33" t="s">
        <v>176</v>
      </c>
    </row>
    <row r="77" ht="15.75" customHeight="1">
      <c r="A77" s="13"/>
      <c r="B77" s="13" t="s">
        <v>87</v>
      </c>
      <c r="C77" s="11" t="s">
        <v>171</v>
      </c>
      <c r="D77" s="34">
        <v>1.0</v>
      </c>
      <c r="E77" s="35">
        <f>$C$5</f>
        <v>0</v>
      </c>
      <c r="F77" s="34">
        <v>2.0</v>
      </c>
      <c r="G77" s="11" t="s">
        <v>88</v>
      </c>
      <c r="H77" s="19">
        <f t="shared" ref="H77:H81" si="13">D77*E77*F77</f>
        <v>0</v>
      </c>
      <c r="I77" s="13" t="s">
        <v>89</v>
      </c>
      <c r="J77" s="17"/>
    </row>
    <row r="78" ht="15.75" customHeight="1">
      <c r="A78" s="13"/>
      <c r="B78" s="13" t="s">
        <v>90</v>
      </c>
      <c r="C78" s="11" t="s">
        <v>171</v>
      </c>
      <c r="D78" s="34">
        <v>1.0</v>
      </c>
      <c r="E78" s="35">
        <f>$C$6</f>
        <v>0</v>
      </c>
      <c r="F78" s="34">
        <v>2.0</v>
      </c>
      <c r="G78" s="11" t="s">
        <v>88</v>
      </c>
      <c r="H78" s="19">
        <f t="shared" si="13"/>
        <v>0</v>
      </c>
      <c r="I78" s="13" t="s">
        <v>89</v>
      </c>
      <c r="J78" s="17"/>
    </row>
    <row r="79" ht="15.75" customHeight="1">
      <c r="A79" s="13"/>
      <c r="B79" s="13" t="s">
        <v>146</v>
      </c>
      <c r="C79" s="11" t="s">
        <v>171</v>
      </c>
      <c r="D79" s="34">
        <v>1.0</v>
      </c>
      <c r="E79" s="35">
        <f>$C$10</f>
        <v>0</v>
      </c>
      <c r="F79" s="34">
        <v>10.0</v>
      </c>
      <c r="G79" s="11" t="s">
        <v>88</v>
      </c>
      <c r="H79" s="19">
        <f t="shared" si="13"/>
        <v>0</v>
      </c>
      <c r="I79" s="13" t="s">
        <v>89</v>
      </c>
      <c r="J79" s="17"/>
    </row>
    <row r="80" ht="15.75" customHeight="1">
      <c r="A80" s="13"/>
      <c r="B80" s="13" t="s">
        <v>104</v>
      </c>
      <c r="C80" s="11" t="s">
        <v>171</v>
      </c>
      <c r="D80" s="34">
        <v>1.0</v>
      </c>
      <c r="E80" s="35">
        <f>$C$11</f>
        <v>0</v>
      </c>
      <c r="F80" s="34">
        <v>154.0</v>
      </c>
      <c r="G80" s="11" t="s">
        <v>88</v>
      </c>
      <c r="H80" s="19">
        <f t="shared" si="13"/>
        <v>0</v>
      </c>
      <c r="I80" s="13" t="s">
        <v>89</v>
      </c>
      <c r="J80" s="17" t="s">
        <v>177</v>
      </c>
    </row>
    <row r="81" ht="15.75" customHeight="1">
      <c r="A81" s="13"/>
      <c r="B81" s="13" t="s">
        <v>130</v>
      </c>
      <c r="C81" s="11" t="s">
        <v>171</v>
      </c>
      <c r="D81" s="34">
        <v>1.0</v>
      </c>
      <c r="E81" s="35">
        <f>$C$12</f>
        <v>0</v>
      </c>
      <c r="F81" s="34">
        <v>82.0</v>
      </c>
      <c r="G81" s="11" t="s">
        <v>88</v>
      </c>
      <c r="H81" s="19">
        <f t="shared" si="13"/>
        <v>0</v>
      </c>
      <c r="I81" s="13" t="s">
        <v>89</v>
      </c>
      <c r="J81" s="17" t="s">
        <v>178</v>
      </c>
    </row>
    <row r="82" ht="15.75" customHeight="1">
      <c r="A82" s="28" t="s">
        <v>179</v>
      </c>
      <c r="B82" s="29" t="s">
        <v>180</v>
      </c>
      <c r="C82" s="30"/>
      <c r="D82" s="31"/>
      <c r="E82" s="31"/>
      <c r="F82" s="31"/>
      <c r="G82" s="30"/>
      <c r="H82" s="32">
        <f>SUM(H83:H85)</f>
        <v>0</v>
      </c>
      <c r="I82" s="30"/>
      <c r="J82" s="33" t="s">
        <v>181</v>
      </c>
    </row>
    <row r="83" ht="15.75" customHeight="1">
      <c r="A83" s="13"/>
      <c r="B83" s="13" t="s">
        <v>90</v>
      </c>
      <c r="C83" s="11" t="s">
        <v>171</v>
      </c>
      <c r="D83" s="34">
        <v>1.0</v>
      </c>
      <c r="E83" s="35">
        <f>$C$6</f>
        <v>0</v>
      </c>
      <c r="F83" s="34">
        <v>4.0</v>
      </c>
      <c r="G83" s="11" t="s">
        <v>88</v>
      </c>
      <c r="H83" s="19">
        <f t="shared" ref="H83:H85" si="14">D83*E83*F83</f>
        <v>0</v>
      </c>
      <c r="I83" s="13" t="s">
        <v>89</v>
      </c>
      <c r="J83" s="17"/>
    </row>
    <row r="84" ht="15.75" customHeight="1">
      <c r="A84" s="13"/>
      <c r="B84" s="13" t="s">
        <v>146</v>
      </c>
      <c r="C84" s="11" t="s">
        <v>171</v>
      </c>
      <c r="D84" s="34">
        <v>1.0</v>
      </c>
      <c r="E84" s="35">
        <f>$C$10</f>
        <v>0</v>
      </c>
      <c r="F84" s="34">
        <v>12.0</v>
      </c>
      <c r="G84" s="11" t="s">
        <v>88</v>
      </c>
      <c r="H84" s="19">
        <f t="shared" si="14"/>
        <v>0</v>
      </c>
      <c r="I84" s="13" t="s">
        <v>89</v>
      </c>
      <c r="J84" s="17"/>
    </row>
    <row r="85" ht="15.75" customHeight="1">
      <c r="A85" s="13"/>
      <c r="B85" s="13" t="s">
        <v>130</v>
      </c>
      <c r="C85" s="11" t="s">
        <v>171</v>
      </c>
      <c r="D85" s="34">
        <v>1.0</v>
      </c>
      <c r="E85" s="35">
        <f>$C$12</f>
        <v>0</v>
      </c>
      <c r="F85" s="34">
        <v>4.0</v>
      </c>
      <c r="G85" s="11" t="s">
        <v>88</v>
      </c>
      <c r="H85" s="19">
        <f t="shared" si="14"/>
        <v>0</v>
      </c>
      <c r="I85" s="13" t="s">
        <v>89</v>
      </c>
      <c r="J85" s="17"/>
    </row>
    <row r="86" ht="15.75" customHeight="1">
      <c r="A86" s="28" t="s">
        <v>182</v>
      </c>
      <c r="B86" s="29" t="s">
        <v>183</v>
      </c>
      <c r="C86" s="30"/>
      <c r="D86" s="31"/>
      <c r="E86" s="31"/>
      <c r="F86" s="31"/>
      <c r="G86" s="30"/>
      <c r="H86" s="32">
        <f>SUM(H87:H91)</f>
        <v>1490</v>
      </c>
      <c r="I86" s="30"/>
      <c r="J86" s="33" t="s">
        <v>184</v>
      </c>
    </row>
    <row r="87" ht="15.75" customHeight="1">
      <c r="A87" s="13"/>
      <c r="B87" s="13" t="s">
        <v>129</v>
      </c>
      <c r="C87" s="11" t="s">
        <v>171</v>
      </c>
      <c r="D87" s="34">
        <v>1.0</v>
      </c>
      <c r="E87" s="35">
        <f>$C$9</f>
        <v>0</v>
      </c>
      <c r="F87" s="34">
        <v>2.0</v>
      </c>
      <c r="G87" s="11" t="s">
        <v>88</v>
      </c>
      <c r="H87" s="19">
        <f t="shared" ref="H87:H91" si="15">D87*E87*F87</f>
        <v>0</v>
      </c>
      <c r="I87" s="13" t="s">
        <v>89</v>
      </c>
      <c r="J87" s="17"/>
    </row>
    <row r="88" ht="15.75" customHeight="1">
      <c r="A88" s="13"/>
      <c r="B88" s="13" t="s">
        <v>130</v>
      </c>
      <c r="C88" s="11" t="s">
        <v>171</v>
      </c>
      <c r="D88" s="34">
        <v>1.0</v>
      </c>
      <c r="E88" s="35">
        <f>$C$12</f>
        <v>0</v>
      </c>
      <c r="F88" s="34">
        <v>9.0</v>
      </c>
      <c r="G88" s="11" t="s">
        <v>88</v>
      </c>
      <c r="H88" s="19">
        <f t="shared" si="15"/>
        <v>0</v>
      </c>
      <c r="I88" s="13" t="s">
        <v>89</v>
      </c>
      <c r="J88" s="17"/>
    </row>
    <row r="89" ht="15.75" customHeight="1">
      <c r="A89" s="13"/>
      <c r="B89" s="13" t="s">
        <v>185</v>
      </c>
      <c r="C89" s="11" t="s">
        <v>171</v>
      </c>
      <c r="D89" s="34">
        <v>30.0</v>
      </c>
      <c r="E89" s="40">
        <v>25.0</v>
      </c>
      <c r="F89" s="34">
        <v>1.0</v>
      </c>
      <c r="G89" s="11" t="s">
        <v>186</v>
      </c>
      <c r="H89" s="19">
        <f t="shared" si="15"/>
        <v>750</v>
      </c>
      <c r="I89" s="13" t="s">
        <v>187</v>
      </c>
      <c r="J89" s="17" t="s">
        <v>188</v>
      </c>
    </row>
    <row r="90" ht="15.75" customHeight="1">
      <c r="A90" s="13"/>
      <c r="B90" s="13" t="s">
        <v>189</v>
      </c>
      <c r="C90" s="11" t="s">
        <v>171</v>
      </c>
      <c r="D90" s="34">
        <v>400.0</v>
      </c>
      <c r="E90" s="40">
        <v>0.5</v>
      </c>
      <c r="F90" s="34">
        <v>1.0</v>
      </c>
      <c r="G90" s="11" t="s">
        <v>186</v>
      </c>
      <c r="H90" s="19">
        <f t="shared" si="15"/>
        <v>200</v>
      </c>
      <c r="I90" s="13" t="s">
        <v>187</v>
      </c>
      <c r="J90" s="17" t="s">
        <v>190</v>
      </c>
    </row>
    <row r="91" ht="15.75" customHeight="1">
      <c r="A91" s="13"/>
      <c r="B91" s="13" t="s">
        <v>191</v>
      </c>
      <c r="C91" s="11" t="s">
        <v>171</v>
      </c>
      <c r="D91" s="34">
        <v>45.0</v>
      </c>
      <c r="E91" s="40">
        <v>12.0</v>
      </c>
      <c r="F91" s="34">
        <v>1.0</v>
      </c>
      <c r="G91" s="11" t="s">
        <v>186</v>
      </c>
      <c r="H91" s="19">
        <f t="shared" si="15"/>
        <v>540</v>
      </c>
      <c r="I91" s="13" t="s">
        <v>187</v>
      </c>
      <c r="J91" s="17" t="s">
        <v>192</v>
      </c>
    </row>
    <row r="92" ht="15.75" customHeight="1">
      <c r="A92" s="26" t="s">
        <v>193</v>
      </c>
      <c r="B92" s="10" t="s">
        <v>194</v>
      </c>
      <c r="C92" s="12"/>
      <c r="D92" s="27"/>
      <c r="E92" s="27"/>
      <c r="F92" s="27"/>
      <c r="G92" s="12"/>
      <c r="H92" s="39">
        <f>H93+H101</f>
        <v>1050</v>
      </c>
      <c r="I92" s="12"/>
      <c r="J92" s="12"/>
    </row>
    <row r="93" ht="15.75" customHeight="1">
      <c r="A93" s="28" t="s">
        <v>195</v>
      </c>
      <c r="B93" s="29" t="s">
        <v>196</v>
      </c>
      <c r="C93" s="30"/>
      <c r="D93" s="31"/>
      <c r="E93" s="31"/>
      <c r="F93" s="31"/>
      <c r="G93" s="30"/>
      <c r="H93" s="32">
        <f>SUM(H94:H100)</f>
        <v>1050</v>
      </c>
      <c r="I93" s="30"/>
      <c r="J93" s="33" t="s">
        <v>197</v>
      </c>
    </row>
    <row r="94" ht="15.75" customHeight="1">
      <c r="A94" s="13"/>
      <c r="B94" s="13" t="s">
        <v>146</v>
      </c>
      <c r="C94" s="11" t="s">
        <v>193</v>
      </c>
      <c r="D94" s="34">
        <v>1.0</v>
      </c>
      <c r="E94" s="35">
        <f>$C$10</f>
        <v>0</v>
      </c>
      <c r="F94" s="34">
        <v>172.0</v>
      </c>
      <c r="G94" s="11" t="s">
        <v>88</v>
      </c>
      <c r="H94" s="19">
        <f t="shared" ref="H94:H100" si="16">D94*E94*F94</f>
        <v>0</v>
      </c>
      <c r="I94" s="13" t="s">
        <v>89</v>
      </c>
      <c r="J94" s="17" t="s">
        <v>198</v>
      </c>
    </row>
    <row r="95" ht="15.75" customHeight="1">
      <c r="A95" s="13"/>
      <c r="B95" s="13" t="s">
        <v>199</v>
      </c>
      <c r="C95" s="11" t="s">
        <v>193</v>
      </c>
      <c r="D95" s="34">
        <v>1.0</v>
      </c>
      <c r="E95" s="35">
        <f>$C$14</f>
        <v>0</v>
      </c>
      <c r="F95" s="34">
        <v>54.0</v>
      </c>
      <c r="G95" s="11" t="s">
        <v>88</v>
      </c>
      <c r="H95" s="19">
        <f t="shared" si="16"/>
        <v>0</v>
      </c>
      <c r="I95" s="13" t="s">
        <v>89</v>
      </c>
      <c r="J95" s="17"/>
    </row>
    <row r="96" ht="15.75" customHeight="1">
      <c r="A96" s="13"/>
      <c r="B96" s="13" t="s">
        <v>200</v>
      </c>
      <c r="C96" s="11" t="s">
        <v>193</v>
      </c>
      <c r="D96" s="34">
        <v>1.0</v>
      </c>
      <c r="E96" s="35">
        <f>$C$15</f>
        <v>0</v>
      </c>
      <c r="F96" s="34">
        <v>14.0</v>
      </c>
      <c r="G96" s="11" t="s">
        <v>88</v>
      </c>
      <c r="H96" s="19">
        <f t="shared" si="16"/>
        <v>0</v>
      </c>
      <c r="I96" s="13" t="s">
        <v>89</v>
      </c>
      <c r="J96" s="17"/>
    </row>
    <row r="97" ht="15.75" customHeight="1">
      <c r="A97" s="13"/>
      <c r="B97" s="13" t="s">
        <v>201</v>
      </c>
      <c r="C97" s="11" t="s">
        <v>193</v>
      </c>
      <c r="D97" s="34">
        <v>1.0</v>
      </c>
      <c r="E97" s="40">
        <v>60.0</v>
      </c>
      <c r="F97" s="34">
        <v>1.0</v>
      </c>
      <c r="G97" s="11" t="s">
        <v>202</v>
      </c>
      <c r="H97" s="19">
        <f t="shared" si="16"/>
        <v>60</v>
      </c>
      <c r="I97" s="13" t="s">
        <v>203</v>
      </c>
      <c r="J97" s="17" t="s">
        <v>204</v>
      </c>
    </row>
    <row r="98" ht="15.75" customHeight="1">
      <c r="A98" s="13"/>
      <c r="B98" s="13" t="s">
        <v>205</v>
      </c>
      <c r="C98" s="11" t="s">
        <v>193</v>
      </c>
      <c r="D98" s="34">
        <v>2.0</v>
      </c>
      <c r="E98" s="40">
        <v>180.0</v>
      </c>
      <c r="F98" s="34">
        <v>1.0</v>
      </c>
      <c r="G98" s="11" t="s">
        <v>186</v>
      </c>
      <c r="H98" s="19">
        <f t="shared" si="16"/>
        <v>360</v>
      </c>
      <c r="I98" s="13" t="s">
        <v>187</v>
      </c>
      <c r="J98" s="17" t="s">
        <v>206</v>
      </c>
    </row>
    <row r="99" ht="15.75" customHeight="1">
      <c r="A99" s="13"/>
      <c r="B99" s="13" t="s">
        <v>207</v>
      </c>
      <c r="C99" s="11" t="s">
        <v>193</v>
      </c>
      <c r="D99" s="34">
        <v>100.0</v>
      </c>
      <c r="E99" s="40">
        <v>1.5</v>
      </c>
      <c r="F99" s="34">
        <v>1.0</v>
      </c>
      <c r="G99" s="11" t="s">
        <v>186</v>
      </c>
      <c r="H99" s="19">
        <f t="shared" si="16"/>
        <v>150</v>
      </c>
      <c r="I99" s="13" t="s">
        <v>187</v>
      </c>
      <c r="J99" s="17" t="s">
        <v>208</v>
      </c>
    </row>
    <row r="100" ht="15.75" customHeight="1">
      <c r="A100" s="13"/>
      <c r="B100" s="13" t="s">
        <v>209</v>
      </c>
      <c r="C100" s="11" t="s">
        <v>193</v>
      </c>
      <c r="D100" s="34">
        <v>1.0</v>
      </c>
      <c r="E100" s="40">
        <v>80.0</v>
      </c>
      <c r="F100" s="34">
        <v>6.0</v>
      </c>
      <c r="G100" s="11" t="s">
        <v>210</v>
      </c>
      <c r="H100" s="19">
        <f t="shared" si="16"/>
        <v>480</v>
      </c>
      <c r="I100" s="13" t="s">
        <v>211</v>
      </c>
      <c r="J100" s="17" t="s">
        <v>212</v>
      </c>
    </row>
    <row r="101" ht="15.75" customHeight="1">
      <c r="A101" s="28" t="s">
        <v>213</v>
      </c>
      <c r="B101" s="29" t="s">
        <v>214</v>
      </c>
      <c r="C101" s="30"/>
      <c r="D101" s="31"/>
      <c r="E101" s="31"/>
      <c r="F101" s="31"/>
      <c r="G101" s="30"/>
      <c r="H101" s="32">
        <f>SUM(H102)</f>
        <v>0</v>
      </c>
      <c r="I101" s="30"/>
      <c r="J101" s="33" t="s">
        <v>215</v>
      </c>
    </row>
    <row r="102" ht="15.75" customHeight="1">
      <c r="A102" s="13"/>
      <c r="B102" s="13" t="s">
        <v>146</v>
      </c>
      <c r="C102" s="11" t="s">
        <v>193</v>
      </c>
      <c r="D102" s="34">
        <v>1.0</v>
      </c>
      <c r="E102" s="35">
        <f>$C$10</f>
        <v>0</v>
      </c>
      <c r="F102" s="34">
        <v>20.0</v>
      </c>
      <c r="G102" s="11" t="s">
        <v>88</v>
      </c>
      <c r="H102" s="19">
        <f>D102*E102*F102</f>
        <v>0</v>
      </c>
      <c r="I102" s="13" t="s">
        <v>89</v>
      </c>
      <c r="J102" s="17"/>
    </row>
    <row r="103" ht="15.75" customHeight="1">
      <c r="A103" s="26" t="s">
        <v>216</v>
      </c>
      <c r="B103" s="10" t="s">
        <v>217</v>
      </c>
      <c r="C103" s="12"/>
      <c r="D103" s="27"/>
      <c r="E103" s="27"/>
      <c r="F103" s="27"/>
      <c r="G103" s="12"/>
      <c r="H103" s="39">
        <f>H104+H109+H115+H117+H120+H125</f>
        <v>560</v>
      </c>
      <c r="I103" s="12"/>
      <c r="J103" s="12"/>
    </row>
    <row r="104" ht="15.75" customHeight="1">
      <c r="A104" s="28" t="s">
        <v>218</v>
      </c>
      <c r="B104" s="29" t="s">
        <v>219</v>
      </c>
      <c r="C104" s="30"/>
      <c r="D104" s="31"/>
      <c r="E104" s="31"/>
      <c r="F104" s="31"/>
      <c r="G104" s="30"/>
      <c r="H104" s="32">
        <f>SUM(H105:H108)</f>
        <v>0</v>
      </c>
      <c r="I104" s="30"/>
      <c r="J104" s="33" t="s">
        <v>220</v>
      </c>
    </row>
    <row r="105" ht="15.75" customHeight="1">
      <c r="A105" s="13"/>
      <c r="B105" s="13" t="s">
        <v>129</v>
      </c>
      <c r="C105" s="11" t="s">
        <v>216</v>
      </c>
      <c r="D105" s="34">
        <v>1.0</v>
      </c>
      <c r="E105" s="35">
        <f>$C$9</f>
        <v>0</v>
      </c>
      <c r="F105" s="34">
        <v>4.0</v>
      </c>
      <c r="G105" s="11" t="s">
        <v>88</v>
      </c>
      <c r="H105" s="19">
        <f t="shared" ref="H105:H108" si="17">D105*E105*F105</f>
        <v>0</v>
      </c>
      <c r="I105" s="13" t="s">
        <v>89</v>
      </c>
      <c r="J105" s="17"/>
    </row>
    <row r="106" ht="15.75" customHeight="1">
      <c r="A106" s="13"/>
      <c r="B106" s="13" t="s">
        <v>146</v>
      </c>
      <c r="C106" s="11" t="s">
        <v>216</v>
      </c>
      <c r="D106" s="34">
        <v>1.0</v>
      </c>
      <c r="E106" s="35">
        <f>$C$10</f>
        <v>0</v>
      </c>
      <c r="F106" s="34">
        <v>12.0</v>
      </c>
      <c r="G106" s="11" t="s">
        <v>88</v>
      </c>
      <c r="H106" s="19">
        <f t="shared" si="17"/>
        <v>0</v>
      </c>
      <c r="I106" s="13" t="s">
        <v>89</v>
      </c>
      <c r="J106" s="17"/>
    </row>
    <row r="107" ht="15.75" customHeight="1">
      <c r="A107" s="13"/>
      <c r="B107" s="13" t="s">
        <v>135</v>
      </c>
      <c r="C107" s="11" t="s">
        <v>216</v>
      </c>
      <c r="D107" s="34">
        <v>1.0</v>
      </c>
      <c r="E107" s="35">
        <f>$C$13</f>
        <v>0</v>
      </c>
      <c r="F107" s="34">
        <v>18.0</v>
      </c>
      <c r="G107" s="11" t="s">
        <v>88</v>
      </c>
      <c r="H107" s="19">
        <f t="shared" si="17"/>
        <v>0</v>
      </c>
      <c r="I107" s="13" t="s">
        <v>89</v>
      </c>
      <c r="J107" s="17"/>
    </row>
    <row r="108" ht="15.75" customHeight="1">
      <c r="A108" s="13"/>
      <c r="B108" s="13" t="s">
        <v>221</v>
      </c>
      <c r="C108" s="11" t="s">
        <v>216</v>
      </c>
      <c r="D108" s="34">
        <v>10.0</v>
      </c>
      <c r="E108" s="35">
        <f>$C$16</f>
        <v>0</v>
      </c>
      <c r="F108" s="34">
        <v>2.0</v>
      </c>
      <c r="G108" s="11" t="s">
        <v>88</v>
      </c>
      <c r="H108" s="19">
        <f t="shared" si="17"/>
        <v>0</v>
      </c>
      <c r="I108" s="13" t="s">
        <v>89</v>
      </c>
      <c r="J108" s="17"/>
    </row>
    <row r="109" ht="15.75" customHeight="1">
      <c r="A109" s="28" t="s">
        <v>222</v>
      </c>
      <c r="B109" s="29" t="s">
        <v>223</v>
      </c>
      <c r="C109" s="30"/>
      <c r="D109" s="31"/>
      <c r="E109" s="31"/>
      <c r="F109" s="31"/>
      <c r="G109" s="30"/>
      <c r="H109" s="32">
        <f>SUM(H110:H114)</f>
        <v>560</v>
      </c>
      <c r="I109" s="30"/>
      <c r="J109" s="33" t="s">
        <v>224</v>
      </c>
    </row>
    <row r="110" ht="15.75" customHeight="1">
      <c r="A110" s="13"/>
      <c r="B110" s="13" t="s">
        <v>129</v>
      </c>
      <c r="C110" s="11" t="s">
        <v>216</v>
      </c>
      <c r="D110" s="34">
        <v>1.0</v>
      </c>
      <c r="E110" s="35">
        <f>$C$9</f>
        <v>0</v>
      </c>
      <c r="F110" s="34">
        <v>14.0</v>
      </c>
      <c r="G110" s="11" t="s">
        <v>88</v>
      </c>
      <c r="H110" s="19">
        <f t="shared" ref="H110:H114" si="18">D110*E110*F110</f>
        <v>0</v>
      </c>
      <c r="I110" s="13" t="s">
        <v>89</v>
      </c>
      <c r="J110" s="17"/>
    </row>
    <row r="111" ht="15.75" customHeight="1">
      <c r="A111" s="13"/>
      <c r="B111" s="13" t="s">
        <v>104</v>
      </c>
      <c r="C111" s="11" t="s">
        <v>216</v>
      </c>
      <c r="D111" s="34">
        <v>1.0</v>
      </c>
      <c r="E111" s="35">
        <f>$C$11</f>
        <v>0</v>
      </c>
      <c r="F111" s="34">
        <v>30.5</v>
      </c>
      <c r="G111" s="11" t="s">
        <v>88</v>
      </c>
      <c r="H111" s="19">
        <f t="shared" si="18"/>
        <v>0</v>
      </c>
      <c r="I111" s="13" t="s">
        <v>89</v>
      </c>
      <c r="J111" s="17"/>
    </row>
    <row r="112" ht="15.75" customHeight="1">
      <c r="A112" s="13"/>
      <c r="B112" s="13" t="s">
        <v>200</v>
      </c>
      <c r="C112" s="11" t="s">
        <v>216</v>
      </c>
      <c r="D112" s="34">
        <v>1.0</v>
      </c>
      <c r="E112" s="35">
        <f>$C$15</f>
        <v>0</v>
      </c>
      <c r="F112" s="34">
        <v>2.0</v>
      </c>
      <c r="G112" s="11" t="s">
        <v>88</v>
      </c>
      <c r="H112" s="19">
        <f t="shared" si="18"/>
        <v>0</v>
      </c>
      <c r="I112" s="13" t="s">
        <v>89</v>
      </c>
      <c r="J112" s="17"/>
    </row>
    <row r="113" ht="15.75" customHeight="1">
      <c r="A113" s="13"/>
      <c r="B113" s="13" t="s">
        <v>225</v>
      </c>
      <c r="C113" s="11" t="s">
        <v>216</v>
      </c>
      <c r="D113" s="34">
        <v>2.0</v>
      </c>
      <c r="E113" s="35">
        <f>$C$20</f>
        <v>0</v>
      </c>
      <c r="F113" s="34">
        <v>2.0</v>
      </c>
      <c r="G113" s="11" t="s">
        <v>88</v>
      </c>
      <c r="H113" s="19">
        <f t="shared" si="18"/>
        <v>0</v>
      </c>
      <c r="I113" s="13" t="s">
        <v>89</v>
      </c>
      <c r="J113" s="17"/>
    </row>
    <row r="114" ht="15.75" customHeight="1">
      <c r="A114" s="13"/>
      <c r="B114" s="13" t="s">
        <v>226</v>
      </c>
      <c r="C114" s="11" t="s">
        <v>216</v>
      </c>
      <c r="D114" s="34">
        <v>10.0</v>
      </c>
      <c r="E114" s="40">
        <v>8.0</v>
      </c>
      <c r="F114" s="34">
        <v>7.0</v>
      </c>
      <c r="G114" s="11" t="s">
        <v>227</v>
      </c>
      <c r="H114" s="19">
        <f t="shared" si="18"/>
        <v>560</v>
      </c>
      <c r="I114" s="13" t="s">
        <v>228</v>
      </c>
      <c r="J114" s="17" t="s">
        <v>229</v>
      </c>
    </row>
    <row r="115" ht="15.75" customHeight="1">
      <c r="A115" s="28" t="s">
        <v>230</v>
      </c>
      <c r="B115" s="29" t="s">
        <v>231</v>
      </c>
      <c r="C115" s="30"/>
      <c r="D115" s="31"/>
      <c r="E115" s="31"/>
      <c r="F115" s="31"/>
      <c r="G115" s="30"/>
      <c r="H115" s="32">
        <f>SUM(H116)</f>
        <v>0</v>
      </c>
      <c r="I115" s="30"/>
      <c r="J115" s="33" t="s">
        <v>232</v>
      </c>
    </row>
    <row r="116" ht="15.75" customHeight="1">
      <c r="A116" s="13"/>
      <c r="B116" s="13" t="s">
        <v>129</v>
      </c>
      <c r="C116" s="11" t="s">
        <v>216</v>
      </c>
      <c r="D116" s="34">
        <v>1.0</v>
      </c>
      <c r="E116" s="35">
        <f>$C$9</f>
        <v>0</v>
      </c>
      <c r="F116" s="34">
        <v>4.5</v>
      </c>
      <c r="G116" s="11" t="s">
        <v>88</v>
      </c>
      <c r="H116" s="19">
        <f>D116*E116*F116</f>
        <v>0</v>
      </c>
      <c r="I116" s="13" t="s">
        <v>89</v>
      </c>
      <c r="J116" s="17"/>
    </row>
    <row r="117" ht="15.75" customHeight="1">
      <c r="A117" s="28" t="s">
        <v>233</v>
      </c>
      <c r="B117" s="29" t="s">
        <v>234</v>
      </c>
      <c r="C117" s="30"/>
      <c r="D117" s="31"/>
      <c r="E117" s="31"/>
      <c r="F117" s="31"/>
      <c r="G117" s="30"/>
      <c r="H117" s="32">
        <f>SUM(H118:H119)</f>
        <v>0</v>
      </c>
      <c r="I117" s="30"/>
      <c r="J117" s="33" t="s">
        <v>235</v>
      </c>
    </row>
    <row r="118" ht="15.75" customHeight="1">
      <c r="A118" s="13"/>
      <c r="B118" s="13" t="s">
        <v>90</v>
      </c>
      <c r="C118" s="11" t="s">
        <v>216</v>
      </c>
      <c r="D118" s="34">
        <v>1.0</v>
      </c>
      <c r="E118" s="35">
        <f>$C$6</f>
        <v>0</v>
      </c>
      <c r="F118" s="34">
        <v>16.0</v>
      </c>
      <c r="G118" s="11" t="s">
        <v>88</v>
      </c>
      <c r="H118" s="19">
        <f t="shared" ref="H118:H119" si="19">D118*E118*F118</f>
        <v>0</v>
      </c>
      <c r="I118" s="13" t="s">
        <v>89</v>
      </c>
      <c r="J118" s="17"/>
    </row>
    <row r="119" ht="15.75" customHeight="1">
      <c r="A119" s="13"/>
      <c r="B119" s="13" t="s">
        <v>236</v>
      </c>
      <c r="C119" s="11" t="s">
        <v>216</v>
      </c>
      <c r="D119" s="34">
        <v>7.0</v>
      </c>
      <c r="E119" s="35">
        <f>$C$17</f>
        <v>0</v>
      </c>
      <c r="F119" s="34">
        <v>4.0</v>
      </c>
      <c r="G119" s="11" t="s">
        <v>88</v>
      </c>
      <c r="H119" s="19">
        <f t="shared" si="19"/>
        <v>0</v>
      </c>
      <c r="I119" s="13" t="s">
        <v>89</v>
      </c>
      <c r="J119" s="17"/>
    </row>
    <row r="120" ht="15.75" customHeight="1">
      <c r="A120" s="28" t="s">
        <v>237</v>
      </c>
      <c r="B120" s="29" t="s">
        <v>238</v>
      </c>
      <c r="C120" s="30"/>
      <c r="D120" s="31"/>
      <c r="E120" s="31"/>
      <c r="F120" s="31"/>
      <c r="G120" s="30"/>
      <c r="H120" s="32">
        <f>SUM(H121:H124)</f>
        <v>0</v>
      </c>
      <c r="I120" s="30"/>
      <c r="J120" s="33" t="s">
        <v>239</v>
      </c>
    </row>
    <row r="121" ht="15.75" customHeight="1">
      <c r="A121" s="13"/>
      <c r="B121" s="13" t="s">
        <v>129</v>
      </c>
      <c r="C121" s="11" t="s">
        <v>216</v>
      </c>
      <c r="D121" s="34">
        <v>1.0</v>
      </c>
      <c r="E121" s="35">
        <f>$C$9</f>
        <v>0</v>
      </c>
      <c r="F121" s="34">
        <v>25.0</v>
      </c>
      <c r="G121" s="11" t="s">
        <v>88</v>
      </c>
      <c r="H121" s="19">
        <f t="shared" ref="H121:H124" si="20">D121*E121*F121</f>
        <v>0</v>
      </c>
      <c r="I121" s="13" t="s">
        <v>89</v>
      </c>
      <c r="J121" s="17"/>
    </row>
    <row r="122" ht="15.75" customHeight="1">
      <c r="A122" s="13"/>
      <c r="B122" s="13" t="s">
        <v>135</v>
      </c>
      <c r="C122" s="11" t="s">
        <v>216</v>
      </c>
      <c r="D122" s="34">
        <v>1.0</v>
      </c>
      <c r="E122" s="35">
        <f>$C$13</f>
        <v>0</v>
      </c>
      <c r="F122" s="34">
        <v>4.0</v>
      </c>
      <c r="G122" s="11" t="s">
        <v>88</v>
      </c>
      <c r="H122" s="19">
        <f t="shared" si="20"/>
        <v>0</v>
      </c>
      <c r="I122" s="13" t="s">
        <v>89</v>
      </c>
      <c r="J122" s="17"/>
    </row>
    <row r="123" ht="15.75" customHeight="1">
      <c r="A123" s="13"/>
      <c r="B123" s="13" t="s">
        <v>236</v>
      </c>
      <c r="C123" s="11" t="s">
        <v>216</v>
      </c>
      <c r="D123" s="34">
        <v>7.0</v>
      </c>
      <c r="E123" s="35">
        <f>$C$17</f>
        <v>0</v>
      </c>
      <c r="F123" s="34">
        <v>2.0</v>
      </c>
      <c r="G123" s="11" t="s">
        <v>88</v>
      </c>
      <c r="H123" s="19">
        <f t="shared" si="20"/>
        <v>0</v>
      </c>
      <c r="I123" s="13" t="s">
        <v>89</v>
      </c>
      <c r="J123" s="17"/>
    </row>
    <row r="124" ht="15.75" customHeight="1">
      <c r="A124" s="13"/>
      <c r="B124" s="13" t="s">
        <v>221</v>
      </c>
      <c r="C124" s="11" t="s">
        <v>216</v>
      </c>
      <c r="D124" s="34">
        <v>10.0</v>
      </c>
      <c r="E124" s="35">
        <f>$C$16</f>
        <v>0</v>
      </c>
      <c r="F124" s="34">
        <v>21.0</v>
      </c>
      <c r="G124" s="11" t="s">
        <v>88</v>
      </c>
      <c r="H124" s="19">
        <f t="shared" si="20"/>
        <v>0</v>
      </c>
      <c r="I124" s="13" t="s">
        <v>89</v>
      </c>
      <c r="J124" s="17"/>
    </row>
    <row r="125" ht="15.75" customHeight="1">
      <c r="A125" s="28" t="s">
        <v>240</v>
      </c>
      <c r="B125" s="29" t="s">
        <v>241</v>
      </c>
      <c r="C125" s="30"/>
      <c r="D125" s="31"/>
      <c r="E125" s="31"/>
      <c r="F125" s="31"/>
      <c r="G125" s="30"/>
      <c r="H125" s="32">
        <f>SUM(H126:H128)</f>
        <v>0</v>
      </c>
      <c r="I125" s="30"/>
      <c r="J125" s="33" t="s">
        <v>242</v>
      </c>
    </row>
    <row r="126" ht="15.75" customHeight="1">
      <c r="A126" s="13"/>
      <c r="B126" s="13" t="s">
        <v>90</v>
      </c>
      <c r="C126" s="11" t="s">
        <v>216</v>
      </c>
      <c r="D126" s="34">
        <v>1.0</v>
      </c>
      <c r="E126" s="35">
        <f>$C$6</f>
        <v>0</v>
      </c>
      <c r="F126" s="34">
        <v>2.0</v>
      </c>
      <c r="G126" s="11" t="s">
        <v>88</v>
      </c>
      <c r="H126" s="19">
        <f t="shared" ref="H126:H128" si="21">D126*E126*F126</f>
        <v>0</v>
      </c>
      <c r="I126" s="13" t="s">
        <v>89</v>
      </c>
      <c r="J126" s="17"/>
    </row>
    <row r="127" ht="15.75" customHeight="1">
      <c r="A127" s="13"/>
      <c r="B127" s="13" t="s">
        <v>135</v>
      </c>
      <c r="C127" s="11" t="s">
        <v>216</v>
      </c>
      <c r="D127" s="34">
        <v>1.0</v>
      </c>
      <c r="E127" s="35">
        <f>$C$13</f>
        <v>0</v>
      </c>
      <c r="F127" s="34">
        <v>2.0</v>
      </c>
      <c r="G127" s="11" t="s">
        <v>88</v>
      </c>
      <c r="H127" s="19">
        <f t="shared" si="21"/>
        <v>0</v>
      </c>
      <c r="I127" s="13" t="s">
        <v>89</v>
      </c>
      <c r="J127" s="17"/>
    </row>
    <row r="128" ht="15.75" customHeight="1">
      <c r="A128" s="13"/>
      <c r="B128" s="13" t="s">
        <v>221</v>
      </c>
      <c r="C128" s="11" t="s">
        <v>216</v>
      </c>
      <c r="D128" s="34">
        <v>10.0</v>
      </c>
      <c r="E128" s="35">
        <f>$C$16</f>
        <v>0</v>
      </c>
      <c r="F128" s="34">
        <v>1.0</v>
      </c>
      <c r="G128" s="11" t="s">
        <v>88</v>
      </c>
      <c r="H128" s="19">
        <f t="shared" si="21"/>
        <v>0</v>
      </c>
      <c r="I128" s="13" t="s">
        <v>89</v>
      </c>
      <c r="J128" s="17"/>
    </row>
    <row r="129" ht="15.75" customHeight="1">
      <c r="A129" s="26" t="s">
        <v>243</v>
      </c>
      <c r="B129" s="10" t="s">
        <v>244</v>
      </c>
      <c r="C129" s="12"/>
      <c r="D129" s="27"/>
      <c r="E129" s="27"/>
      <c r="F129" s="27"/>
      <c r="G129" s="12"/>
      <c r="H129" s="39">
        <f>H130+H135+H141+H143+H146+H151</f>
        <v>560</v>
      </c>
      <c r="I129" s="12"/>
      <c r="J129" s="12"/>
    </row>
    <row r="130" ht="15.75" customHeight="1">
      <c r="A130" s="28" t="s">
        <v>245</v>
      </c>
      <c r="B130" s="29" t="s">
        <v>246</v>
      </c>
      <c r="C130" s="30"/>
      <c r="D130" s="31"/>
      <c r="E130" s="31"/>
      <c r="F130" s="31"/>
      <c r="G130" s="30"/>
      <c r="H130" s="32">
        <f>SUM(H131:H134)</f>
        <v>0</v>
      </c>
      <c r="I130" s="30"/>
      <c r="J130" s="33" t="s">
        <v>247</v>
      </c>
    </row>
    <row r="131" ht="15.75" customHeight="1">
      <c r="A131" s="13"/>
      <c r="B131" s="13" t="s">
        <v>129</v>
      </c>
      <c r="C131" s="11" t="s">
        <v>243</v>
      </c>
      <c r="D131" s="34">
        <v>1.0</v>
      </c>
      <c r="E131" s="35">
        <f>$C$9</f>
        <v>0</v>
      </c>
      <c r="F131" s="34">
        <v>4.0</v>
      </c>
      <c r="G131" s="11" t="s">
        <v>88</v>
      </c>
      <c r="H131" s="19">
        <f t="shared" ref="H131:H134" si="22">D131*E131*F131</f>
        <v>0</v>
      </c>
      <c r="I131" s="13" t="s">
        <v>89</v>
      </c>
      <c r="J131" s="17"/>
    </row>
    <row r="132" ht="15.75" customHeight="1">
      <c r="A132" s="13"/>
      <c r="B132" s="13" t="s">
        <v>146</v>
      </c>
      <c r="C132" s="11" t="s">
        <v>243</v>
      </c>
      <c r="D132" s="34">
        <v>1.0</v>
      </c>
      <c r="E132" s="35">
        <f>$C$10</f>
        <v>0</v>
      </c>
      <c r="F132" s="34">
        <v>12.0</v>
      </c>
      <c r="G132" s="11" t="s">
        <v>88</v>
      </c>
      <c r="H132" s="19">
        <f t="shared" si="22"/>
        <v>0</v>
      </c>
      <c r="I132" s="13" t="s">
        <v>89</v>
      </c>
      <c r="J132" s="17"/>
    </row>
    <row r="133" ht="15.75" customHeight="1">
      <c r="A133" s="13"/>
      <c r="B133" s="13" t="s">
        <v>135</v>
      </c>
      <c r="C133" s="11" t="s">
        <v>243</v>
      </c>
      <c r="D133" s="34">
        <v>1.0</v>
      </c>
      <c r="E133" s="35">
        <f>$C$13</f>
        <v>0</v>
      </c>
      <c r="F133" s="34">
        <v>18.0</v>
      </c>
      <c r="G133" s="11" t="s">
        <v>88</v>
      </c>
      <c r="H133" s="19">
        <f t="shared" si="22"/>
        <v>0</v>
      </c>
      <c r="I133" s="13" t="s">
        <v>89</v>
      </c>
      <c r="J133" s="17"/>
    </row>
    <row r="134" ht="15.75" customHeight="1">
      <c r="A134" s="13"/>
      <c r="B134" s="13" t="s">
        <v>221</v>
      </c>
      <c r="C134" s="11" t="s">
        <v>243</v>
      </c>
      <c r="D134" s="34">
        <v>10.0</v>
      </c>
      <c r="E134" s="35">
        <f>$C$16</f>
        <v>0</v>
      </c>
      <c r="F134" s="34">
        <v>2.0</v>
      </c>
      <c r="G134" s="11" t="s">
        <v>88</v>
      </c>
      <c r="H134" s="19">
        <f t="shared" si="22"/>
        <v>0</v>
      </c>
      <c r="I134" s="13" t="s">
        <v>89</v>
      </c>
      <c r="J134" s="17"/>
    </row>
    <row r="135" ht="15.75" customHeight="1">
      <c r="A135" s="28" t="s">
        <v>248</v>
      </c>
      <c r="B135" s="29" t="s">
        <v>249</v>
      </c>
      <c r="C135" s="30"/>
      <c r="D135" s="31"/>
      <c r="E135" s="31"/>
      <c r="F135" s="31"/>
      <c r="G135" s="30"/>
      <c r="H135" s="32">
        <f>SUM(H136:H140)</f>
        <v>560</v>
      </c>
      <c r="I135" s="30"/>
      <c r="J135" s="33" t="s">
        <v>250</v>
      </c>
    </row>
    <row r="136" ht="15.75" customHeight="1">
      <c r="A136" s="13"/>
      <c r="B136" s="13" t="s">
        <v>129</v>
      </c>
      <c r="C136" s="11" t="s">
        <v>243</v>
      </c>
      <c r="D136" s="34">
        <v>1.0</v>
      </c>
      <c r="E136" s="35">
        <f>$C$9</f>
        <v>0</v>
      </c>
      <c r="F136" s="34">
        <v>14.0</v>
      </c>
      <c r="G136" s="11" t="s">
        <v>88</v>
      </c>
      <c r="H136" s="19">
        <f t="shared" ref="H136:H140" si="23">D136*E136*F136</f>
        <v>0</v>
      </c>
      <c r="I136" s="13" t="s">
        <v>89</v>
      </c>
      <c r="J136" s="17"/>
    </row>
    <row r="137" ht="15.75" customHeight="1">
      <c r="A137" s="13"/>
      <c r="B137" s="13" t="s">
        <v>104</v>
      </c>
      <c r="C137" s="11" t="s">
        <v>243</v>
      </c>
      <c r="D137" s="34">
        <v>1.0</v>
      </c>
      <c r="E137" s="35">
        <f>$C$11</f>
        <v>0</v>
      </c>
      <c r="F137" s="34">
        <v>31.0</v>
      </c>
      <c r="G137" s="11" t="s">
        <v>88</v>
      </c>
      <c r="H137" s="19">
        <f t="shared" si="23"/>
        <v>0</v>
      </c>
      <c r="I137" s="13" t="s">
        <v>89</v>
      </c>
      <c r="J137" s="17"/>
    </row>
    <row r="138" ht="15.75" customHeight="1">
      <c r="A138" s="13"/>
      <c r="B138" s="13" t="s">
        <v>200</v>
      </c>
      <c r="C138" s="11" t="s">
        <v>243</v>
      </c>
      <c r="D138" s="34">
        <v>1.0</v>
      </c>
      <c r="E138" s="35">
        <f>$C$15</f>
        <v>0</v>
      </c>
      <c r="F138" s="34">
        <v>2.0</v>
      </c>
      <c r="G138" s="11" t="s">
        <v>88</v>
      </c>
      <c r="H138" s="19">
        <f t="shared" si="23"/>
        <v>0</v>
      </c>
      <c r="I138" s="13" t="s">
        <v>89</v>
      </c>
      <c r="J138" s="17"/>
    </row>
    <row r="139" ht="15.75" customHeight="1">
      <c r="A139" s="13"/>
      <c r="B139" s="13" t="s">
        <v>225</v>
      </c>
      <c r="C139" s="11" t="s">
        <v>243</v>
      </c>
      <c r="D139" s="34">
        <v>2.0</v>
      </c>
      <c r="E139" s="35">
        <f>$C$20</f>
        <v>0</v>
      </c>
      <c r="F139" s="34">
        <v>2.0</v>
      </c>
      <c r="G139" s="11" t="s">
        <v>88</v>
      </c>
      <c r="H139" s="19">
        <f t="shared" si="23"/>
        <v>0</v>
      </c>
      <c r="I139" s="13" t="s">
        <v>89</v>
      </c>
      <c r="J139" s="17"/>
    </row>
    <row r="140" ht="15.75" customHeight="1">
      <c r="A140" s="13"/>
      <c r="B140" s="13" t="s">
        <v>226</v>
      </c>
      <c r="C140" s="11" t="s">
        <v>243</v>
      </c>
      <c r="D140" s="34">
        <v>10.0</v>
      </c>
      <c r="E140" s="40">
        <v>8.0</v>
      </c>
      <c r="F140" s="34">
        <v>7.0</v>
      </c>
      <c r="G140" s="11" t="s">
        <v>227</v>
      </c>
      <c r="H140" s="19">
        <f t="shared" si="23"/>
        <v>560</v>
      </c>
      <c r="I140" s="13" t="s">
        <v>228</v>
      </c>
      <c r="J140" s="17" t="s">
        <v>251</v>
      </c>
    </row>
    <row r="141" ht="15.75" customHeight="1">
      <c r="A141" s="28" t="s">
        <v>252</v>
      </c>
      <c r="B141" s="29" t="s">
        <v>253</v>
      </c>
      <c r="C141" s="30"/>
      <c r="D141" s="31"/>
      <c r="E141" s="31"/>
      <c r="F141" s="31"/>
      <c r="G141" s="30"/>
      <c r="H141" s="32">
        <f>SUM(H142)</f>
        <v>0</v>
      </c>
      <c r="I141" s="30"/>
      <c r="J141" s="33" t="s">
        <v>254</v>
      </c>
    </row>
    <row r="142" ht="15.75" customHeight="1">
      <c r="A142" s="13"/>
      <c r="B142" s="13" t="s">
        <v>129</v>
      </c>
      <c r="C142" s="11" t="s">
        <v>243</v>
      </c>
      <c r="D142" s="34">
        <v>1.0</v>
      </c>
      <c r="E142" s="35">
        <f>$C$9</f>
        <v>0</v>
      </c>
      <c r="F142" s="34">
        <v>4.8</v>
      </c>
      <c r="G142" s="11" t="s">
        <v>88</v>
      </c>
      <c r="H142" s="19">
        <f>D142*E142*F142</f>
        <v>0</v>
      </c>
      <c r="I142" s="13" t="s">
        <v>89</v>
      </c>
      <c r="J142" s="17"/>
    </row>
    <row r="143" ht="15.75" customHeight="1">
      <c r="A143" s="28" t="s">
        <v>255</v>
      </c>
      <c r="B143" s="29" t="s">
        <v>256</v>
      </c>
      <c r="C143" s="30"/>
      <c r="D143" s="31"/>
      <c r="E143" s="31"/>
      <c r="F143" s="31"/>
      <c r="G143" s="30"/>
      <c r="H143" s="32">
        <f>SUM(H144:H145)</f>
        <v>0</v>
      </c>
      <c r="I143" s="30"/>
      <c r="J143" s="33" t="s">
        <v>257</v>
      </c>
    </row>
    <row r="144" ht="15.75" customHeight="1">
      <c r="A144" s="13"/>
      <c r="B144" s="13" t="s">
        <v>90</v>
      </c>
      <c r="C144" s="11" t="s">
        <v>243</v>
      </c>
      <c r="D144" s="34">
        <v>1.0</v>
      </c>
      <c r="E144" s="35">
        <f>$C$6</f>
        <v>0</v>
      </c>
      <c r="F144" s="34">
        <v>16.0</v>
      </c>
      <c r="G144" s="11" t="s">
        <v>88</v>
      </c>
      <c r="H144" s="19">
        <f t="shared" ref="H144:H145" si="24">D144*E144*F144</f>
        <v>0</v>
      </c>
      <c r="I144" s="13" t="s">
        <v>89</v>
      </c>
      <c r="J144" s="17"/>
    </row>
    <row r="145" ht="15.75" customHeight="1">
      <c r="A145" s="13"/>
      <c r="B145" s="13" t="s">
        <v>236</v>
      </c>
      <c r="C145" s="11" t="s">
        <v>243</v>
      </c>
      <c r="D145" s="34">
        <v>7.0</v>
      </c>
      <c r="E145" s="35">
        <f>$C$17</f>
        <v>0</v>
      </c>
      <c r="F145" s="34">
        <v>4.0</v>
      </c>
      <c r="G145" s="11" t="s">
        <v>88</v>
      </c>
      <c r="H145" s="19">
        <f t="shared" si="24"/>
        <v>0</v>
      </c>
      <c r="I145" s="13" t="s">
        <v>89</v>
      </c>
      <c r="J145" s="17"/>
    </row>
    <row r="146" ht="15.75" customHeight="1">
      <c r="A146" s="28" t="s">
        <v>258</v>
      </c>
      <c r="B146" s="29" t="s">
        <v>259</v>
      </c>
      <c r="C146" s="30"/>
      <c r="D146" s="31"/>
      <c r="E146" s="31"/>
      <c r="F146" s="31"/>
      <c r="G146" s="30"/>
      <c r="H146" s="32">
        <f>SUM(H147:H150)</f>
        <v>0</v>
      </c>
      <c r="I146" s="30"/>
      <c r="J146" s="33" t="s">
        <v>260</v>
      </c>
    </row>
    <row r="147" ht="15.75" customHeight="1">
      <c r="A147" s="13"/>
      <c r="B147" s="13" t="s">
        <v>129</v>
      </c>
      <c r="C147" s="11" t="s">
        <v>243</v>
      </c>
      <c r="D147" s="34">
        <v>1.0</v>
      </c>
      <c r="E147" s="35">
        <f>$C$9</f>
        <v>0</v>
      </c>
      <c r="F147" s="34">
        <v>25.0</v>
      </c>
      <c r="G147" s="11" t="s">
        <v>88</v>
      </c>
      <c r="H147" s="19">
        <f t="shared" ref="H147:H150" si="25">D147*E147*F147</f>
        <v>0</v>
      </c>
      <c r="I147" s="13" t="s">
        <v>89</v>
      </c>
      <c r="J147" s="17"/>
    </row>
    <row r="148" ht="15.75" customHeight="1">
      <c r="A148" s="13"/>
      <c r="B148" s="13" t="s">
        <v>135</v>
      </c>
      <c r="C148" s="11" t="s">
        <v>243</v>
      </c>
      <c r="D148" s="34">
        <v>1.0</v>
      </c>
      <c r="E148" s="35">
        <f>$C$13</f>
        <v>0</v>
      </c>
      <c r="F148" s="34">
        <v>4.0</v>
      </c>
      <c r="G148" s="11" t="s">
        <v>88</v>
      </c>
      <c r="H148" s="19">
        <f t="shared" si="25"/>
        <v>0</v>
      </c>
      <c r="I148" s="13" t="s">
        <v>89</v>
      </c>
      <c r="J148" s="17"/>
    </row>
    <row r="149" ht="15.75" customHeight="1">
      <c r="A149" s="13"/>
      <c r="B149" s="13" t="s">
        <v>236</v>
      </c>
      <c r="C149" s="11" t="s">
        <v>243</v>
      </c>
      <c r="D149" s="34">
        <v>7.0</v>
      </c>
      <c r="E149" s="35">
        <f>$C$17</f>
        <v>0</v>
      </c>
      <c r="F149" s="34">
        <v>2.0</v>
      </c>
      <c r="G149" s="11" t="s">
        <v>88</v>
      </c>
      <c r="H149" s="19">
        <f t="shared" si="25"/>
        <v>0</v>
      </c>
      <c r="I149" s="13" t="s">
        <v>89</v>
      </c>
      <c r="J149" s="17"/>
    </row>
    <row r="150" ht="15.75" customHeight="1">
      <c r="A150" s="13"/>
      <c r="B150" s="13" t="s">
        <v>221</v>
      </c>
      <c r="C150" s="11" t="s">
        <v>243</v>
      </c>
      <c r="D150" s="34">
        <v>10.0</v>
      </c>
      <c r="E150" s="35">
        <f>$C$16</f>
        <v>0</v>
      </c>
      <c r="F150" s="34">
        <v>21.0</v>
      </c>
      <c r="G150" s="11" t="s">
        <v>88</v>
      </c>
      <c r="H150" s="19">
        <f t="shared" si="25"/>
        <v>0</v>
      </c>
      <c r="I150" s="13" t="s">
        <v>89</v>
      </c>
      <c r="J150" s="17"/>
    </row>
    <row r="151" ht="15.75" customHeight="1">
      <c r="A151" s="28" t="s">
        <v>261</v>
      </c>
      <c r="B151" s="29" t="s">
        <v>262</v>
      </c>
      <c r="C151" s="30"/>
      <c r="D151" s="31"/>
      <c r="E151" s="31"/>
      <c r="F151" s="31"/>
      <c r="G151" s="30"/>
      <c r="H151" s="32">
        <f>SUM(H152:H154)</f>
        <v>0</v>
      </c>
      <c r="I151" s="30"/>
      <c r="J151" s="33" t="s">
        <v>263</v>
      </c>
    </row>
    <row r="152" ht="15.75" customHeight="1">
      <c r="A152" s="13"/>
      <c r="B152" s="13" t="s">
        <v>90</v>
      </c>
      <c r="C152" s="11" t="s">
        <v>243</v>
      </c>
      <c r="D152" s="34">
        <v>1.0</v>
      </c>
      <c r="E152" s="35">
        <f>$C$6</f>
        <v>0</v>
      </c>
      <c r="F152" s="34">
        <v>2.0</v>
      </c>
      <c r="G152" s="11" t="s">
        <v>88</v>
      </c>
      <c r="H152" s="19">
        <f t="shared" ref="H152:H154" si="26">D152*E152*F152</f>
        <v>0</v>
      </c>
      <c r="I152" s="13" t="s">
        <v>89</v>
      </c>
      <c r="J152" s="17"/>
    </row>
    <row r="153" ht="15.75" customHeight="1">
      <c r="A153" s="13"/>
      <c r="B153" s="13" t="s">
        <v>135</v>
      </c>
      <c r="C153" s="11" t="s">
        <v>243</v>
      </c>
      <c r="D153" s="34">
        <v>1.0</v>
      </c>
      <c r="E153" s="35">
        <f>$C$13</f>
        <v>0</v>
      </c>
      <c r="F153" s="34">
        <v>2.0</v>
      </c>
      <c r="G153" s="11" t="s">
        <v>88</v>
      </c>
      <c r="H153" s="19">
        <f t="shared" si="26"/>
        <v>0</v>
      </c>
      <c r="I153" s="13" t="s">
        <v>89</v>
      </c>
      <c r="J153" s="17"/>
    </row>
    <row r="154" ht="15.75" customHeight="1">
      <c r="A154" s="13"/>
      <c r="B154" s="13" t="s">
        <v>221</v>
      </c>
      <c r="C154" s="11" t="s">
        <v>243</v>
      </c>
      <c r="D154" s="34">
        <v>10.0</v>
      </c>
      <c r="E154" s="35">
        <f>$C$16</f>
        <v>0</v>
      </c>
      <c r="F154" s="34">
        <v>1.0</v>
      </c>
      <c r="G154" s="11" t="s">
        <v>88</v>
      </c>
      <c r="H154" s="19">
        <f t="shared" si="26"/>
        <v>0</v>
      </c>
      <c r="I154" s="13" t="s">
        <v>89</v>
      </c>
      <c r="J154" s="17"/>
    </row>
    <row r="155" ht="15.75" customHeight="1">
      <c r="A155" s="26" t="s">
        <v>264</v>
      </c>
      <c r="B155" s="10" t="s">
        <v>265</v>
      </c>
      <c r="C155" s="12"/>
      <c r="D155" s="27"/>
      <c r="E155" s="27"/>
      <c r="F155" s="27"/>
      <c r="G155" s="12"/>
      <c r="H155" s="39">
        <f>H156+H161+H169+H171+H174+H179</f>
        <v>980</v>
      </c>
      <c r="I155" s="12"/>
      <c r="J155" s="12"/>
    </row>
    <row r="156" ht="15.75" customHeight="1">
      <c r="A156" s="28" t="s">
        <v>266</v>
      </c>
      <c r="B156" s="29" t="s">
        <v>267</v>
      </c>
      <c r="C156" s="30"/>
      <c r="D156" s="31"/>
      <c r="E156" s="31"/>
      <c r="F156" s="31"/>
      <c r="G156" s="30"/>
      <c r="H156" s="32">
        <f>SUM(H157:H160)</f>
        <v>0</v>
      </c>
      <c r="I156" s="30"/>
      <c r="J156" s="33" t="s">
        <v>268</v>
      </c>
    </row>
    <row r="157" ht="15.75" customHeight="1">
      <c r="A157" s="13"/>
      <c r="B157" s="13" t="s">
        <v>129</v>
      </c>
      <c r="C157" s="11" t="s">
        <v>264</v>
      </c>
      <c r="D157" s="34">
        <v>1.0</v>
      </c>
      <c r="E157" s="35">
        <f>$C$9</f>
        <v>0</v>
      </c>
      <c r="F157" s="34">
        <v>4.0</v>
      </c>
      <c r="G157" s="11" t="s">
        <v>88</v>
      </c>
      <c r="H157" s="19">
        <f t="shared" ref="H157:H160" si="27">D157*E157*F157</f>
        <v>0</v>
      </c>
      <c r="I157" s="13" t="s">
        <v>89</v>
      </c>
      <c r="J157" s="17"/>
    </row>
    <row r="158" ht="15.75" customHeight="1">
      <c r="A158" s="13"/>
      <c r="B158" s="13" t="s">
        <v>146</v>
      </c>
      <c r="C158" s="11" t="s">
        <v>264</v>
      </c>
      <c r="D158" s="34">
        <v>1.0</v>
      </c>
      <c r="E158" s="35">
        <f>$C$10</f>
        <v>0</v>
      </c>
      <c r="F158" s="34">
        <v>12.0</v>
      </c>
      <c r="G158" s="11" t="s">
        <v>88</v>
      </c>
      <c r="H158" s="19">
        <f t="shared" si="27"/>
        <v>0</v>
      </c>
      <c r="I158" s="13" t="s">
        <v>89</v>
      </c>
      <c r="J158" s="17"/>
    </row>
    <row r="159" ht="15.75" customHeight="1">
      <c r="A159" s="13"/>
      <c r="B159" s="13" t="s">
        <v>135</v>
      </c>
      <c r="C159" s="11" t="s">
        <v>264</v>
      </c>
      <c r="D159" s="34">
        <v>1.0</v>
      </c>
      <c r="E159" s="35">
        <f>$C$13</f>
        <v>0</v>
      </c>
      <c r="F159" s="34">
        <v>18.0</v>
      </c>
      <c r="G159" s="11" t="s">
        <v>88</v>
      </c>
      <c r="H159" s="19">
        <f t="shared" si="27"/>
        <v>0</v>
      </c>
      <c r="I159" s="13" t="s">
        <v>89</v>
      </c>
      <c r="J159" s="17"/>
    </row>
    <row r="160" ht="15.75" customHeight="1">
      <c r="A160" s="13"/>
      <c r="B160" s="13" t="s">
        <v>221</v>
      </c>
      <c r="C160" s="11" t="s">
        <v>264</v>
      </c>
      <c r="D160" s="34">
        <v>10.0</v>
      </c>
      <c r="E160" s="35">
        <f>$C$16</f>
        <v>0</v>
      </c>
      <c r="F160" s="34">
        <v>2.0</v>
      </c>
      <c r="G160" s="11" t="s">
        <v>88</v>
      </c>
      <c r="H160" s="19">
        <f t="shared" si="27"/>
        <v>0</v>
      </c>
      <c r="I160" s="13" t="s">
        <v>89</v>
      </c>
      <c r="J160" s="17"/>
    </row>
    <row r="161" ht="15.75" customHeight="1">
      <c r="A161" s="28" t="s">
        <v>269</v>
      </c>
      <c r="B161" s="29" t="s">
        <v>270</v>
      </c>
      <c r="C161" s="30"/>
      <c r="D161" s="31"/>
      <c r="E161" s="31"/>
      <c r="F161" s="31"/>
      <c r="G161" s="30"/>
      <c r="H161" s="32">
        <f>SUM(H162:H168)</f>
        <v>980</v>
      </c>
      <c r="I161" s="30"/>
      <c r="J161" s="33" t="s">
        <v>271</v>
      </c>
    </row>
    <row r="162" ht="15.75" customHeight="1">
      <c r="A162" s="13"/>
      <c r="B162" s="13" t="s">
        <v>129</v>
      </c>
      <c r="C162" s="11" t="s">
        <v>264</v>
      </c>
      <c r="D162" s="34">
        <v>1.0</v>
      </c>
      <c r="E162" s="35">
        <f>$C$9</f>
        <v>0</v>
      </c>
      <c r="F162" s="34">
        <v>14.0</v>
      </c>
      <c r="G162" s="11" t="s">
        <v>88</v>
      </c>
      <c r="H162" s="19">
        <f t="shared" ref="H162:H168" si="28">D162*E162*F162</f>
        <v>0</v>
      </c>
      <c r="I162" s="13" t="s">
        <v>89</v>
      </c>
      <c r="J162" s="17"/>
    </row>
    <row r="163" ht="15.75" customHeight="1">
      <c r="A163" s="13"/>
      <c r="B163" s="13" t="s">
        <v>104</v>
      </c>
      <c r="C163" s="11" t="s">
        <v>264</v>
      </c>
      <c r="D163" s="34">
        <v>1.0</v>
      </c>
      <c r="E163" s="35">
        <f>$C$11</f>
        <v>0</v>
      </c>
      <c r="F163" s="34">
        <v>31.5</v>
      </c>
      <c r="G163" s="11" t="s">
        <v>88</v>
      </c>
      <c r="H163" s="19">
        <f t="shared" si="28"/>
        <v>0</v>
      </c>
      <c r="I163" s="13" t="s">
        <v>89</v>
      </c>
      <c r="J163" s="17"/>
    </row>
    <row r="164" ht="15.75" customHeight="1">
      <c r="A164" s="13"/>
      <c r="B164" s="13" t="s">
        <v>200</v>
      </c>
      <c r="C164" s="11" t="s">
        <v>264</v>
      </c>
      <c r="D164" s="34">
        <v>1.0</v>
      </c>
      <c r="E164" s="35">
        <f>$C$15</f>
        <v>0</v>
      </c>
      <c r="F164" s="34">
        <v>2.0</v>
      </c>
      <c r="G164" s="11" t="s">
        <v>88</v>
      </c>
      <c r="H164" s="19">
        <f t="shared" si="28"/>
        <v>0</v>
      </c>
      <c r="I164" s="13" t="s">
        <v>89</v>
      </c>
      <c r="J164" s="17"/>
    </row>
    <row r="165" ht="15.75" customHeight="1">
      <c r="A165" s="13"/>
      <c r="B165" s="13" t="s">
        <v>225</v>
      </c>
      <c r="C165" s="11" t="s">
        <v>264</v>
      </c>
      <c r="D165" s="34">
        <v>2.0</v>
      </c>
      <c r="E165" s="35">
        <f>$C$20</f>
        <v>0</v>
      </c>
      <c r="F165" s="34">
        <v>2.0</v>
      </c>
      <c r="G165" s="11" t="s">
        <v>88</v>
      </c>
      <c r="H165" s="19">
        <f t="shared" si="28"/>
        <v>0</v>
      </c>
      <c r="I165" s="13" t="s">
        <v>89</v>
      </c>
      <c r="J165" s="17"/>
    </row>
    <row r="166" ht="15.75" customHeight="1">
      <c r="A166" s="13"/>
      <c r="B166" s="13" t="s">
        <v>226</v>
      </c>
      <c r="C166" s="11" t="s">
        <v>264</v>
      </c>
      <c r="D166" s="34">
        <v>10.0</v>
      </c>
      <c r="E166" s="40">
        <v>8.0</v>
      </c>
      <c r="F166" s="34">
        <v>7.0</v>
      </c>
      <c r="G166" s="11" t="s">
        <v>227</v>
      </c>
      <c r="H166" s="19">
        <f t="shared" si="28"/>
        <v>560</v>
      </c>
      <c r="I166" s="13" t="s">
        <v>228</v>
      </c>
      <c r="J166" s="17" t="s">
        <v>272</v>
      </c>
    </row>
    <row r="167" ht="15.75" customHeight="1">
      <c r="A167" s="13"/>
      <c r="B167" s="13" t="s">
        <v>273</v>
      </c>
      <c r="C167" s="11" t="s">
        <v>264</v>
      </c>
      <c r="D167" s="34">
        <v>60.0</v>
      </c>
      <c r="E167" s="40">
        <v>5.0</v>
      </c>
      <c r="F167" s="34">
        <v>1.0</v>
      </c>
      <c r="G167" s="11" t="s">
        <v>274</v>
      </c>
      <c r="H167" s="19">
        <f t="shared" si="28"/>
        <v>300</v>
      </c>
      <c r="I167" s="13" t="s">
        <v>228</v>
      </c>
      <c r="J167" s="17" t="s">
        <v>275</v>
      </c>
    </row>
    <row r="168" ht="15.75" customHeight="1">
      <c r="A168" s="13"/>
      <c r="B168" s="13" t="s">
        <v>276</v>
      </c>
      <c r="C168" s="11" t="s">
        <v>264</v>
      </c>
      <c r="D168" s="34">
        <v>40.0</v>
      </c>
      <c r="E168" s="40">
        <v>3.0</v>
      </c>
      <c r="F168" s="34">
        <v>1.0</v>
      </c>
      <c r="G168" s="11" t="s">
        <v>274</v>
      </c>
      <c r="H168" s="19">
        <f t="shared" si="28"/>
        <v>120</v>
      </c>
      <c r="I168" s="13" t="s">
        <v>187</v>
      </c>
      <c r="J168" s="17" t="s">
        <v>277</v>
      </c>
    </row>
    <row r="169" ht="15.75" customHeight="1">
      <c r="A169" s="28" t="s">
        <v>278</v>
      </c>
      <c r="B169" s="29" t="s">
        <v>279</v>
      </c>
      <c r="C169" s="30"/>
      <c r="D169" s="31"/>
      <c r="E169" s="31"/>
      <c r="F169" s="31"/>
      <c r="G169" s="30"/>
      <c r="H169" s="32">
        <f>SUM(H170)</f>
        <v>0</v>
      </c>
      <c r="I169" s="30"/>
      <c r="J169" s="33" t="s">
        <v>280</v>
      </c>
    </row>
    <row r="170" ht="15.75" customHeight="1">
      <c r="A170" s="13"/>
      <c r="B170" s="13" t="s">
        <v>129</v>
      </c>
      <c r="C170" s="11" t="s">
        <v>264</v>
      </c>
      <c r="D170" s="34">
        <v>1.0</v>
      </c>
      <c r="E170" s="35">
        <f>$C$9</f>
        <v>0</v>
      </c>
      <c r="F170" s="34">
        <v>5.0</v>
      </c>
      <c r="G170" s="11" t="s">
        <v>88</v>
      </c>
      <c r="H170" s="19">
        <f>D170*E170*F170</f>
        <v>0</v>
      </c>
      <c r="I170" s="13" t="s">
        <v>89</v>
      </c>
      <c r="J170" s="17"/>
    </row>
    <row r="171" ht="15.75" customHeight="1">
      <c r="A171" s="28" t="s">
        <v>281</v>
      </c>
      <c r="B171" s="29" t="s">
        <v>282</v>
      </c>
      <c r="C171" s="30"/>
      <c r="D171" s="31"/>
      <c r="E171" s="31"/>
      <c r="F171" s="31"/>
      <c r="G171" s="30"/>
      <c r="H171" s="32">
        <f>SUM(H172:H173)</f>
        <v>0</v>
      </c>
      <c r="I171" s="30"/>
      <c r="J171" s="33" t="s">
        <v>283</v>
      </c>
    </row>
    <row r="172" ht="15.75" customHeight="1">
      <c r="A172" s="13"/>
      <c r="B172" s="13" t="s">
        <v>90</v>
      </c>
      <c r="C172" s="11" t="s">
        <v>264</v>
      </c>
      <c r="D172" s="34">
        <v>1.0</v>
      </c>
      <c r="E172" s="35">
        <f>$C$6</f>
        <v>0</v>
      </c>
      <c r="F172" s="34">
        <v>16.0</v>
      </c>
      <c r="G172" s="11" t="s">
        <v>88</v>
      </c>
      <c r="H172" s="19">
        <f t="shared" ref="H172:H173" si="29">D172*E172*F172</f>
        <v>0</v>
      </c>
      <c r="I172" s="13" t="s">
        <v>89</v>
      </c>
      <c r="J172" s="17"/>
    </row>
    <row r="173" ht="15.75" customHeight="1">
      <c r="A173" s="13"/>
      <c r="B173" s="13" t="s">
        <v>236</v>
      </c>
      <c r="C173" s="11" t="s">
        <v>264</v>
      </c>
      <c r="D173" s="34">
        <v>7.0</v>
      </c>
      <c r="E173" s="35">
        <f>$C$17</f>
        <v>0</v>
      </c>
      <c r="F173" s="34">
        <v>4.0</v>
      </c>
      <c r="G173" s="11" t="s">
        <v>88</v>
      </c>
      <c r="H173" s="19">
        <f t="shared" si="29"/>
        <v>0</v>
      </c>
      <c r="I173" s="13" t="s">
        <v>89</v>
      </c>
      <c r="J173" s="17"/>
    </row>
    <row r="174" ht="15.75" customHeight="1">
      <c r="A174" s="28" t="s">
        <v>284</v>
      </c>
      <c r="B174" s="29" t="s">
        <v>285</v>
      </c>
      <c r="C174" s="30"/>
      <c r="D174" s="31"/>
      <c r="E174" s="31"/>
      <c r="F174" s="31"/>
      <c r="G174" s="30"/>
      <c r="H174" s="32">
        <f>SUM(H175:H178)</f>
        <v>0</v>
      </c>
      <c r="I174" s="30"/>
      <c r="J174" s="33" t="s">
        <v>286</v>
      </c>
    </row>
    <row r="175" ht="15.75" customHeight="1">
      <c r="A175" s="13"/>
      <c r="B175" s="13" t="s">
        <v>129</v>
      </c>
      <c r="C175" s="11" t="s">
        <v>264</v>
      </c>
      <c r="D175" s="34">
        <v>1.0</v>
      </c>
      <c r="E175" s="35">
        <f>$C$9</f>
        <v>0</v>
      </c>
      <c r="F175" s="34">
        <v>28.0</v>
      </c>
      <c r="G175" s="11" t="s">
        <v>88</v>
      </c>
      <c r="H175" s="19">
        <f t="shared" ref="H175:H178" si="30">D175*E175*F175</f>
        <v>0</v>
      </c>
      <c r="I175" s="13" t="s">
        <v>89</v>
      </c>
      <c r="J175" s="17"/>
    </row>
    <row r="176" ht="15.75" customHeight="1">
      <c r="A176" s="13"/>
      <c r="B176" s="13" t="s">
        <v>135</v>
      </c>
      <c r="C176" s="11" t="s">
        <v>264</v>
      </c>
      <c r="D176" s="34">
        <v>1.0</v>
      </c>
      <c r="E176" s="35">
        <f>$C$13</f>
        <v>0</v>
      </c>
      <c r="F176" s="34">
        <v>4.0</v>
      </c>
      <c r="G176" s="11" t="s">
        <v>88</v>
      </c>
      <c r="H176" s="19">
        <f t="shared" si="30"/>
        <v>0</v>
      </c>
      <c r="I176" s="13" t="s">
        <v>89</v>
      </c>
      <c r="J176" s="17"/>
    </row>
    <row r="177" ht="15.75" customHeight="1">
      <c r="A177" s="13"/>
      <c r="B177" s="13" t="s">
        <v>236</v>
      </c>
      <c r="C177" s="11" t="s">
        <v>264</v>
      </c>
      <c r="D177" s="34">
        <v>8.0</v>
      </c>
      <c r="E177" s="35">
        <f>$C$17</f>
        <v>0</v>
      </c>
      <c r="F177" s="34">
        <v>2.0</v>
      </c>
      <c r="G177" s="11" t="s">
        <v>88</v>
      </c>
      <c r="H177" s="19">
        <f t="shared" si="30"/>
        <v>0</v>
      </c>
      <c r="I177" s="13" t="s">
        <v>89</v>
      </c>
      <c r="J177" s="17"/>
    </row>
    <row r="178" ht="15.75" customHeight="1">
      <c r="A178" s="13"/>
      <c r="B178" s="13" t="s">
        <v>221</v>
      </c>
      <c r="C178" s="11" t="s">
        <v>264</v>
      </c>
      <c r="D178" s="34">
        <v>10.0</v>
      </c>
      <c r="E178" s="35">
        <f>$C$16</f>
        <v>0</v>
      </c>
      <c r="F178" s="34">
        <v>24.0</v>
      </c>
      <c r="G178" s="11" t="s">
        <v>88</v>
      </c>
      <c r="H178" s="19">
        <f t="shared" si="30"/>
        <v>0</v>
      </c>
      <c r="I178" s="13" t="s">
        <v>89</v>
      </c>
      <c r="J178" s="17"/>
    </row>
    <row r="179" ht="15.75" customHeight="1">
      <c r="A179" s="28" t="s">
        <v>287</v>
      </c>
      <c r="B179" s="29" t="s">
        <v>288</v>
      </c>
      <c r="C179" s="30"/>
      <c r="D179" s="31"/>
      <c r="E179" s="31"/>
      <c r="F179" s="31"/>
      <c r="G179" s="30"/>
      <c r="H179" s="32">
        <f>SUM(H180:H182)</f>
        <v>0</v>
      </c>
      <c r="I179" s="30"/>
      <c r="J179" s="33" t="s">
        <v>289</v>
      </c>
    </row>
    <row r="180" ht="15.75" customHeight="1">
      <c r="A180" s="13"/>
      <c r="B180" s="13" t="s">
        <v>90</v>
      </c>
      <c r="C180" s="11" t="s">
        <v>264</v>
      </c>
      <c r="D180" s="34">
        <v>1.0</v>
      </c>
      <c r="E180" s="35">
        <f>$C$6</f>
        <v>0</v>
      </c>
      <c r="F180" s="34">
        <v>2.0</v>
      </c>
      <c r="G180" s="11" t="s">
        <v>88</v>
      </c>
      <c r="H180" s="19">
        <f t="shared" ref="H180:H182" si="31">D180*E180*F180</f>
        <v>0</v>
      </c>
      <c r="I180" s="13" t="s">
        <v>89</v>
      </c>
      <c r="J180" s="17"/>
    </row>
    <row r="181" ht="15.75" customHeight="1">
      <c r="A181" s="13"/>
      <c r="B181" s="13" t="s">
        <v>135</v>
      </c>
      <c r="C181" s="11" t="s">
        <v>264</v>
      </c>
      <c r="D181" s="34">
        <v>1.0</v>
      </c>
      <c r="E181" s="35">
        <f>$C$13</f>
        <v>0</v>
      </c>
      <c r="F181" s="34">
        <v>2.0</v>
      </c>
      <c r="G181" s="11" t="s">
        <v>88</v>
      </c>
      <c r="H181" s="19">
        <f t="shared" si="31"/>
        <v>0</v>
      </c>
      <c r="I181" s="13" t="s">
        <v>89</v>
      </c>
      <c r="J181" s="17"/>
    </row>
    <row r="182" ht="15.75" customHeight="1">
      <c r="A182" s="13"/>
      <c r="B182" s="13" t="s">
        <v>221</v>
      </c>
      <c r="C182" s="11" t="s">
        <v>264</v>
      </c>
      <c r="D182" s="34">
        <v>10.0</v>
      </c>
      <c r="E182" s="35">
        <f>$C$16</f>
        <v>0</v>
      </c>
      <c r="F182" s="34">
        <v>1.0</v>
      </c>
      <c r="G182" s="11" t="s">
        <v>88</v>
      </c>
      <c r="H182" s="19">
        <f t="shared" si="31"/>
        <v>0</v>
      </c>
      <c r="I182" s="13" t="s">
        <v>89</v>
      </c>
      <c r="J182" s="17"/>
    </row>
    <row r="183" ht="15.75" customHeight="1">
      <c r="A183" s="26" t="s">
        <v>290</v>
      </c>
      <c r="B183" s="10" t="s">
        <v>291</v>
      </c>
      <c r="C183" s="12"/>
      <c r="D183" s="27"/>
      <c r="E183" s="27"/>
      <c r="F183" s="27"/>
      <c r="G183" s="12"/>
      <c r="H183" s="39">
        <f>H184+H189+H195+H201+H203+H209+H212</f>
        <v>500</v>
      </c>
      <c r="I183" s="12"/>
      <c r="J183" s="12"/>
    </row>
    <row r="184" ht="15.75" customHeight="1">
      <c r="A184" s="28" t="s">
        <v>292</v>
      </c>
      <c r="B184" s="29" t="s">
        <v>293</v>
      </c>
      <c r="C184" s="30"/>
      <c r="D184" s="31"/>
      <c r="E184" s="31"/>
      <c r="F184" s="31"/>
      <c r="G184" s="30"/>
      <c r="H184" s="32">
        <f>SUM(H185:H188)</f>
        <v>0</v>
      </c>
      <c r="I184" s="30"/>
      <c r="J184" s="33" t="s">
        <v>294</v>
      </c>
    </row>
    <row r="185" ht="15.75" customHeight="1">
      <c r="A185" s="13"/>
      <c r="B185" s="13" t="s">
        <v>129</v>
      </c>
      <c r="C185" s="11" t="s">
        <v>290</v>
      </c>
      <c r="D185" s="34">
        <v>1.0</v>
      </c>
      <c r="E185" s="35">
        <f>$C$9</f>
        <v>0</v>
      </c>
      <c r="F185" s="34">
        <v>4.0</v>
      </c>
      <c r="G185" s="11" t="s">
        <v>88</v>
      </c>
      <c r="H185" s="19">
        <f t="shared" ref="H185:H188" si="32">D185*E185*F185</f>
        <v>0</v>
      </c>
      <c r="I185" s="13" t="s">
        <v>89</v>
      </c>
      <c r="J185" s="17"/>
    </row>
    <row r="186" ht="15.75" customHeight="1">
      <c r="A186" s="13"/>
      <c r="B186" s="13" t="s">
        <v>146</v>
      </c>
      <c r="C186" s="11" t="s">
        <v>290</v>
      </c>
      <c r="D186" s="34">
        <v>1.0</v>
      </c>
      <c r="E186" s="35">
        <f>$C$10</f>
        <v>0</v>
      </c>
      <c r="F186" s="34">
        <v>12.0</v>
      </c>
      <c r="G186" s="11" t="s">
        <v>88</v>
      </c>
      <c r="H186" s="19">
        <f t="shared" si="32"/>
        <v>0</v>
      </c>
      <c r="I186" s="13" t="s">
        <v>89</v>
      </c>
      <c r="J186" s="17"/>
    </row>
    <row r="187" ht="15.75" customHeight="1">
      <c r="A187" s="13"/>
      <c r="B187" s="13" t="s">
        <v>135</v>
      </c>
      <c r="C187" s="11" t="s">
        <v>290</v>
      </c>
      <c r="D187" s="34">
        <v>1.0</v>
      </c>
      <c r="E187" s="35">
        <f>$C$13</f>
        <v>0</v>
      </c>
      <c r="F187" s="34">
        <v>18.0</v>
      </c>
      <c r="G187" s="11" t="s">
        <v>88</v>
      </c>
      <c r="H187" s="19">
        <f t="shared" si="32"/>
        <v>0</v>
      </c>
      <c r="I187" s="13" t="s">
        <v>89</v>
      </c>
      <c r="J187" s="17"/>
    </row>
    <row r="188" ht="15.75" customHeight="1">
      <c r="A188" s="13"/>
      <c r="B188" s="13" t="s">
        <v>221</v>
      </c>
      <c r="C188" s="11" t="s">
        <v>290</v>
      </c>
      <c r="D188" s="34">
        <v>10.0</v>
      </c>
      <c r="E188" s="35">
        <f>$C$16</f>
        <v>0</v>
      </c>
      <c r="F188" s="34">
        <v>2.0</v>
      </c>
      <c r="G188" s="11" t="s">
        <v>88</v>
      </c>
      <c r="H188" s="19">
        <f t="shared" si="32"/>
        <v>0</v>
      </c>
      <c r="I188" s="13" t="s">
        <v>89</v>
      </c>
      <c r="J188" s="17"/>
    </row>
    <row r="189" ht="15.75" customHeight="1">
      <c r="A189" s="28" t="s">
        <v>295</v>
      </c>
      <c r="B189" s="29" t="s">
        <v>296</v>
      </c>
      <c r="C189" s="30"/>
      <c r="D189" s="31"/>
      <c r="E189" s="31"/>
      <c r="F189" s="31"/>
      <c r="G189" s="30"/>
      <c r="H189" s="32">
        <f>SUM(H190:H194)</f>
        <v>500</v>
      </c>
      <c r="I189" s="30"/>
      <c r="J189" s="33" t="s">
        <v>297</v>
      </c>
    </row>
    <row r="190" ht="15.75" customHeight="1">
      <c r="A190" s="13"/>
      <c r="B190" s="13" t="s">
        <v>129</v>
      </c>
      <c r="C190" s="11" t="s">
        <v>290</v>
      </c>
      <c r="D190" s="34">
        <v>1.0</v>
      </c>
      <c r="E190" s="35">
        <f>$C$9</f>
        <v>0</v>
      </c>
      <c r="F190" s="34">
        <v>18.0</v>
      </c>
      <c r="G190" s="11" t="s">
        <v>88</v>
      </c>
      <c r="H190" s="19">
        <f t="shared" ref="H190:H194" si="33">D190*E190*F190</f>
        <v>0</v>
      </c>
      <c r="I190" s="13" t="s">
        <v>89</v>
      </c>
      <c r="J190" s="17"/>
    </row>
    <row r="191" ht="15.75" customHeight="1">
      <c r="A191" s="13"/>
      <c r="B191" s="13" t="s">
        <v>104</v>
      </c>
      <c r="C191" s="11" t="s">
        <v>290</v>
      </c>
      <c r="D191" s="34">
        <v>1.0</v>
      </c>
      <c r="E191" s="35">
        <f>$C$11</f>
        <v>0</v>
      </c>
      <c r="F191" s="34">
        <v>12.0</v>
      </c>
      <c r="G191" s="11" t="s">
        <v>88</v>
      </c>
      <c r="H191" s="19">
        <f t="shared" si="33"/>
        <v>0</v>
      </c>
      <c r="I191" s="13" t="s">
        <v>89</v>
      </c>
      <c r="J191" s="17"/>
    </row>
    <row r="192" ht="15.75" customHeight="1">
      <c r="A192" s="13"/>
      <c r="B192" s="13" t="s">
        <v>298</v>
      </c>
      <c r="C192" s="11" t="s">
        <v>290</v>
      </c>
      <c r="D192" s="34">
        <v>60.0</v>
      </c>
      <c r="E192" s="40">
        <v>6.0</v>
      </c>
      <c r="F192" s="34">
        <v>1.0</v>
      </c>
      <c r="G192" s="11" t="s">
        <v>274</v>
      </c>
      <c r="H192" s="19">
        <f t="shared" si="33"/>
        <v>360</v>
      </c>
      <c r="I192" s="13" t="s">
        <v>228</v>
      </c>
      <c r="J192" s="17" t="s">
        <v>299</v>
      </c>
    </row>
    <row r="193" ht="15.75" customHeight="1">
      <c r="A193" s="13"/>
      <c r="B193" s="13" t="s">
        <v>300</v>
      </c>
      <c r="C193" s="11" t="s">
        <v>290</v>
      </c>
      <c r="D193" s="34">
        <v>1.0</v>
      </c>
      <c r="E193" s="40">
        <v>80.0</v>
      </c>
      <c r="F193" s="34">
        <v>1.0</v>
      </c>
      <c r="G193" s="11" t="s">
        <v>274</v>
      </c>
      <c r="H193" s="19">
        <f t="shared" si="33"/>
        <v>80</v>
      </c>
      <c r="I193" s="13" t="s">
        <v>187</v>
      </c>
      <c r="J193" s="17"/>
    </row>
    <row r="194" ht="15.75" customHeight="1">
      <c r="A194" s="13"/>
      <c r="B194" s="13" t="s">
        <v>301</v>
      </c>
      <c r="C194" s="11" t="s">
        <v>290</v>
      </c>
      <c r="D194" s="34">
        <v>1.0</v>
      </c>
      <c r="E194" s="40">
        <v>60.0</v>
      </c>
      <c r="F194" s="34">
        <v>1.0</v>
      </c>
      <c r="G194" s="11" t="s">
        <v>274</v>
      </c>
      <c r="H194" s="19">
        <f t="shared" si="33"/>
        <v>60</v>
      </c>
      <c r="I194" s="13" t="s">
        <v>187</v>
      </c>
      <c r="J194" s="17"/>
    </row>
    <row r="195" ht="15.75" customHeight="1">
      <c r="A195" s="28" t="s">
        <v>302</v>
      </c>
      <c r="B195" s="29" t="s">
        <v>303</v>
      </c>
      <c r="C195" s="30"/>
      <c r="D195" s="31"/>
      <c r="E195" s="31"/>
      <c r="F195" s="31"/>
      <c r="G195" s="30"/>
      <c r="H195" s="32">
        <f>SUM(H196:H200)</f>
        <v>0</v>
      </c>
      <c r="I195" s="30"/>
      <c r="J195" s="33" t="s">
        <v>304</v>
      </c>
    </row>
    <row r="196" ht="15.75" customHeight="1">
      <c r="A196" s="13"/>
      <c r="B196" s="13" t="s">
        <v>90</v>
      </c>
      <c r="C196" s="11" t="s">
        <v>290</v>
      </c>
      <c r="D196" s="34">
        <v>1.0</v>
      </c>
      <c r="E196" s="35">
        <f>$C$6</f>
        <v>0</v>
      </c>
      <c r="F196" s="34">
        <v>16.0</v>
      </c>
      <c r="G196" s="11" t="s">
        <v>88</v>
      </c>
      <c r="H196" s="19">
        <f t="shared" ref="H196:H200" si="34">D196*E196*F196</f>
        <v>0</v>
      </c>
      <c r="I196" s="13" t="s">
        <v>89</v>
      </c>
      <c r="J196" s="17"/>
    </row>
    <row r="197" ht="15.75" customHeight="1">
      <c r="A197" s="13"/>
      <c r="B197" s="13" t="s">
        <v>129</v>
      </c>
      <c r="C197" s="11" t="s">
        <v>290</v>
      </c>
      <c r="D197" s="34">
        <v>1.0</v>
      </c>
      <c r="E197" s="35">
        <f>$C$9</f>
        <v>0</v>
      </c>
      <c r="F197" s="34">
        <v>2.0</v>
      </c>
      <c r="G197" s="11" t="s">
        <v>88</v>
      </c>
      <c r="H197" s="19">
        <f t="shared" si="34"/>
        <v>0</v>
      </c>
      <c r="I197" s="13" t="s">
        <v>89</v>
      </c>
      <c r="J197" s="17"/>
    </row>
    <row r="198" ht="15.75" customHeight="1">
      <c r="A198" s="13"/>
      <c r="B198" s="13" t="s">
        <v>146</v>
      </c>
      <c r="C198" s="11" t="s">
        <v>290</v>
      </c>
      <c r="D198" s="34">
        <v>1.0</v>
      </c>
      <c r="E198" s="35">
        <f>$C$10</f>
        <v>0</v>
      </c>
      <c r="F198" s="34">
        <v>2.0</v>
      </c>
      <c r="G198" s="11" t="s">
        <v>88</v>
      </c>
      <c r="H198" s="19">
        <f t="shared" si="34"/>
        <v>0</v>
      </c>
      <c r="I198" s="13" t="s">
        <v>89</v>
      </c>
      <c r="J198" s="17"/>
    </row>
    <row r="199" ht="15.75" customHeight="1">
      <c r="A199" s="13"/>
      <c r="B199" s="13" t="s">
        <v>104</v>
      </c>
      <c r="C199" s="11" t="s">
        <v>290</v>
      </c>
      <c r="D199" s="34">
        <v>1.0</v>
      </c>
      <c r="E199" s="35">
        <f>$C$11</f>
        <v>0</v>
      </c>
      <c r="F199" s="34">
        <v>12.0</v>
      </c>
      <c r="G199" s="11" t="s">
        <v>88</v>
      </c>
      <c r="H199" s="19">
        <f t="shared" si="34"/>
        <v>0</v>
      </c>
      <c r="I199" s="13" t="s">
        <v>89</v>
      </c>
      <c r="J199" s="17"/>
    </row>
    <row r="200" ht="15.75" customHeight="1">
      <c r="A200" s="13"/>
      <c r="B200" s="13" t="s">
        <v>130</v>
      </c>
      <c r="C200" s="11" t="s">
        <v>290</v>
      </c>
      <c r="D200" s="34">
        <v>1.0</v>
      </c>
      <c r="E200" s="35">
        <f>$C$12</f>
        <v>0</v>
      </c>
      <c r="F200" s="34">
        <v>4.0</v>
      </c>
      <c r="G200" s="11" t="s">
        <v>88</v>
      </c>
      <c r="H200" s="19">
        <f t="shared" si="34"/>
        <v>0</v>
      </c>
      <c r="I200" s="13" t="s">
        <v>89</v>
      </c>
      <c r="J200" s="17"/>
    </row>
    <row r="201" ht="15.75" customHeight="1">
      <c r="A201" s="28" t="s">
        <v>305</v>
      </c>
      <c r="B201" s="29" t="s">
        <v>306</v>
      </c>
      <c r="C201" s="30"/>
      <c r="D201" s="31"/>
      <c r="E201" s="31"/>
      <c r="F201" s="31"/>
      <c r="G201" s="30"/>
      <c r="H201" s="32">
        <f>SUM(H202)</f>
        <v>0</v>
      </c>
      <c r="I201" s="30"/>
      <c r="J201" s="33" t="s">
        <v>307</v>
      </c>
    </row>
    <row r="202" ht="15.75" customHeight="1">
      <c r="A202" s="13"/>
      <c r="B202" s="13" t="s">
        <v>129</v>
      </c>
      <c r="C202" s="11" t="s">
        <v>290</v>
      </c>
      <c r="D202" s="34">
        <v>1.0</v>
      </c>
      <c r="E202" s="35">
        <f>$C$9</f>
        <v>0</v>
      </c>
      <c r="F202" s="34">
        <v>2.0</v>
      </c>
      <c r="G202" s="11" t="s">
        <v>88</v>
      </c>
      <c r="H202" s="19">
        <f>D202*E202*F202</f>
        <v>0</v>
      </c>
      <c r="I202" s="13" t="s">
        <v>89</v>
      </c>
      <c r="J202" s="17"/>
    </row>
    <row r="203" ht="15.75" customHeight="1">
      <c r="A203" s="28" t="s">
        <v>308</v>
      </c>
      <c r="B203" s="29" t="s">
        <v>309</v>
      </c>
      <c r="C203" s="30"/>
      <c r="D203" s="31"/>
      <c r="E203" s="31"/>
      <c r="F203" s="31"/>
      <c r="G203" s="30"/>
      <c r="H203" s="32">
        <f>SUM(H204:H208)</f>
        <v>0</v>
      </c>
      <c r="I203" s="30"/>
      <c r="J203" s="33" t="s">
        <v>310</v>
      </c>
    </row>
    <row r="204" ht="15.75" customHeight="1">
      <c r="A204" s="13"/>
      <c r="B204" s="13" t="s">
        <v>129</v>
      </c>
      <c r="C204" s="11" t="s">
        <v>290</v>
      </c>
      <c r="D204" s="34">
        <v>1.0</v>
      </c>
      <c r="E204" s="35">
        <f>$C$9</f>
        <v>0</v>
      </c>
      <c r="F204" s="34">
        <v>10.0</v>
      </c>
      <c r="G204" s="11" t="s">
        <v>88</v>
      </c>
      <c r="H204" s="19">
        <f t="shared" ref="H204:H208" si="35">D204*E204*F204</f>
        <v>0</v>
      </c>
      <c r="I204" s="13" t="s">
        <v>89</v>
      </c>
      <c r="J204" s="17"/>
    </row>
    <row r="205" ht="15.75" customHeight="1">
      <c r="A205" s="13"/>
      <c r="B205" s="13" t="s">
        <v>135</v>
      </c>
      <c r="C205" s="11" t="s">
        <v>290</v>
      </c>
      <c r="D205" s="34">
        <v>1.0</v>
      </c>
      <c r="E205" s="35">
        <f>$C$13</f>
        <v>0</v>
      </c>
      <c r="F205" s="34">
        <v>4.0</v>
      </c>
      <c r="G205" s="11" t="s">
        <v>88</v>
      </c>
      <c r="H205" s="19">
        <f t="shared" si="35"/>
        <v>0</v>
      </c>
      <c r="I205" s="13" t="s">
        <v>89</v>
      </c>
      <c r="J205" s="17"/>
    </row>
    <row r="206" ht="15.75" customHeight="1">
      <c r="A206" s="13"/>
      <c r="B206" s="13" t="s">
        <v>311</v>
      </c>
      <c r="C206" s="11" t="s">
        <v>290</v>
      </c>
      <c r="D206" s="34">
        <v>2.0</v>
      </c>
      <c r="E206" s="35">
        <f>$C$18</f>
        <v>0</v>
      </c>
      <c r="F206" s="34">
        <v>5.0</v>
      </c>
      <c r="G206" s="11" t="s">
        <v>88</v>
      </c>
      <c r="H206" s="19">
        <f t="shared" si="35"/>
        <v>0</v>
      </c>
      <c r="I206" s="13" t="s">
        <v>89</v>
      </c>
      <c r="J206" s="17"/>
    </row>
    <row r="207" ht="15.75" customHeight="1">
      <c r="A207" s="13"/>
      <c r="B207" s="13" t="s">
        <v>312</v>
      </c>
      <c r="C207" s="11" t="s">
        <v>290</v>
      </c>
      <c r="D207" s="34">
        <v>3.0</v>
      </c>
      <c r="E207" s="35">
        <f>$C$19</f>
        <v>0</v>
      </c>
      <c r="F207" s="34">
        <v>3.0</v>
      </c>
      <c r="G207" s="11" t="s">
        <v>88</v>
      </c>
      <c r="H207" s="19">
        <f t="shared" si="35"/>
        <v>0</v>
      </c>
      <c r="I207" s="13" t="s">
        <v>89</v>
      </c>
      <c r="J207" s="17"/>
    </row>
    <row r="208" ht="15.75" customHeight="1">
      <c r="A208" s="13"/>
      <c r="B208" s="13" t="s">
        <v>221</v>
      </c>
      <c r="C208" s="11" t="s">
        <v>290</v>
      </c>
      <c r="D208" s="34">
        <v>10.0</v>
      </c>
      <c r="E208" s="35">
        <f>$C$16</f>
        <v>0</v>
      </c>
      <c r="F208" s="34">
        <v>6.0</v>
      </c>
      <c r="G208" s="11" t="s">
        <v>88</v>
      </c>
      <c r="H208" s="19">
        <f t="shared" si="35"/>
        <v>0</v>
      </c>
      <c r="I208" s="13" t="s">
        <v>89</v>
      </c>
      <c r="J208" s="17"/>
    </row>
    <row r="209" ht="15.75" customHeight="1">
      <c r="A209" s="28" t="s">
        <v>313</v>
      </c>
      <c r="B209" s="29" t="s">
        <v>314</v>
      </c>
      <c r="C209" s="30"/>
      <c r="D209" s="31"/>
      <c r="E209" s="31"/>
      <c r="F209" s="31"/>
      <c r="G209" s="30"/>
      <c r="H209" s="32">
        <f>SUM(H210:H211)</f>
        <v>0</v>
      </c>
      <c r="I209" s="30"/>
      <c r="J209" s="33" t="s">
        <v>315</v>
      </c>
    </row>
    <row r="210" ht="15.75" customHeight="1">
      <c r="A210" s="13"/>
      <c r="B210" s="13" t="s">
        <v>90</v>
      </c>
      <c r="C210" s="11" t="s">
        <v>290</v>
      </c>
      <c r="D210" s="34">
        <v>1.0</v>
      </c>
      <c r="E210" s="35">
        <f>$C$6</f>
        <v>0</v>
      </c>
      <c r="F210" s="34">
        <v>4.0</v>
      </c>
      <c r="G210" s="11" t="s">
        <v>88</v>
      </c>
      <c r="H210" s="19">
        <f t="shared" ref="H210:H211" si="36">D210*E210*F210</f>
        <v>0</v>
      </c>
      <c r="I210" s="13" t="s">
        <v>89</v>
      </c>
      <c r="J210" s="17"/>
    </row>
    <row r="211" ht="15.75" customHeight="1">
      <c r="A211" s="13"/>
      <c r="B211" s="13" t="s">
        <v>135</v>
      </c>
      <c r="C211" s="11" t="s">
        <v>290</v>
      </c>
      <c r="D211" s="34">
        <v>1.0</v>
      </c>
      <c r="E211" s="35">
        <f>$C$13</f>
        <v>0</v>
      </c>
      <c r="F211" s="34">
        <v>4.0</v>
      </c>
      <c r="G211" s="11" t="s">
        <v>88</v>
      </c>
      <c r="H211" s="19">
        <f t="shared" si="36"/>
        <v>0</v>
      </c>
      <c r="I211" s="13" t="s">
        <v>89</v>
      </c>
      <c r="J211" s="17"/>
    </row>
    <row r="212" ht="15.75" customHeight="1">
      <c r="A212" s="28" t="s">
        <v>316</v>
      </c>
      <c r="B212" s="29" t="s">
        <v>241</v>
      </c>
      <c r="C212" s="30"/>
      <c r="D212" s="31"/>
      <c r="E212" s="31"/>
      <c r="F212" s="31"/>
      <c r="G212" s="30"/>
      <c r="H212" s="32">
        <f>SUM(H213:H214)</f>
        <v>0</v>
      </c>
      <c r="I212" s="30"/>
      <c r="J212" s="33" t="s">
        <v>317</v>
      </c>
    </row>
    <row r="213" ht="15.75" customHeight="1">
      <c r="A213" s="13"/>
      <c r="B213" s="13" t="s">
        <v>90</v>
      </c>
      <c r="C213" s="11" t="s">
        <v>290</v>
      </c>
      <c r="D213" s="34">
        <v>1.0</v>
      </c>
      <c r="E213" s="35">
        <f>$C$6</f>
        <v>0</v>
      </c>
      <c r="F213" s="34">
        <v>2.0</v>
      </c>
      <c r="G213" s="11" t="s">
        <v>88</v>
      </c>
      <c r="H213" s="19">
        <f t="shared" ref="H213:H214" si="37">D213*E213*F213</f>
        <v>0</v>
      </c>
      <c r="I213" s="13" t="s">
        <v>89</v>
      </c>
      <c r="J213" s="17"/>
    </row>
    <row r="214" ht="15.75" customHeight="1">
      <c r="A214" s="13"/>
      <c r="B214" s="13" t="s">
        <v>135</v>
      </c>
      <c r="C214" s="11" t="s">
        <v>290</v>
      </c>
      <c r="D214" s="34">
        <v>1.0</v>
      </c>
      <c r="E214" s="35">
        <f>$C$13</f>
        <v>0</v>
      </c>
      <c r="F214" s="34">
        <v>2.0</v>
      </c>
      <c r="G214" s="11" t="s">
        <v>88</v>
      </c>
      <c r="H214" s="19">
        <f t="shared" si="37"/>
        <v>0</v>
      </c>
      <c r="I214" s="13" t="s">
        <v>89</v>
      </c>
      <c r="J214" s="17"/>
    </row>
    <row r="215" ht="15.75" customHeight="1">
      <c r="A215" s="26" t="s">
        <v>318</v>
      </c>
      <c r="B215" s="10" t="s">
        <v>319</v>
      </c>
      <c r="C215" s="12"/>
      <c r="D215" s="27"/>
      <c r="E215" s="27"/>
      <c r="F215" s="27"/>
      <c r="G215" s="12"/>
      <c r="H215" s="39">
        <f>H216+H221+H226+H229+H233+H235+H242+H245</f>
        <v>500</v>
      </c>
      <c r="I215" s="12"/>
      <c r="J215" s="12"/>
    </row>
    <row r="216" ht="15.75" customHeight="1">
      <c r="A216" s="28" t="s">
        <v>320</v>
      </c>
      <c r="B216" s="29" t="s">
        <v>321</v>
      </c>
      <c r="C216" s="30"/>
      <c r="D216" s="31"/>
      <c r="E216" s="31"/>
      <c r="F216" s="31"/>
      <c r="G216" s="30"/>
      <c r="H216" s="32">
        <f>SUM(H217:H220)</f>
        <v>0</v>
      </c>
      <c r="I216" s="30"/>
      <c r="J216" s="33" t="s">
        <v>322</v>
      </c>
    </row>
    <row r="217" ht="15.75" customHeight="1">
      <c r="A217" s="13"/>
      <c r="B217" s="13" t="s">
        <v>129</v>
      </c>
      <c r="C217" s="11" t="s">
        <v>318</v>
      </c>
      <c r="D217" s="34">
        <v>1.0</v>
      </c>
      <c r="E217" s="35">
        <f>$C$9</f>
        <v>0</v>
      </c>
      <c r="F217" s="34">
        <v>4.0</v>
      </c>
      <c r="G217" s="11" t="s">
        <v>88</v>
      </c>
      <c r="H217" s="19">
        <f t="shared" ref="H217:H220" si="38">D217*E217*F217</f>
        <v>0</v>
      </c>
      <c r="I217" s="13" t="s">
        <v>89</v>
      </c>
      <c r="J217" s="17"/>
    </row>
    <row r="218" ht="15.75" customHeight="1">
      <c r="A218" s="13"/>
      <c r="B218" s="13" t="s">
        <v>146</v>
      </c>
      <c r="C218" s="11" t="s">
        <v>318</v>
      </c>
      <c r="D218" s="34">
        <v>1.0</v>
      </c>
      <c r="E218" s="35">
        <f>$C$10</f>
        <v>0</v>
      </c>
      <c r="F218" s="34">
        <v>12.0</v>
      </c>
      <c r="G218" s="11" t="s">
        <v>88</v>
      </c>
      <c r="H218" s="19">
        <f t="shared" si="38"/>
        <v>0</v>
      </c>
      <c r="I218" s="13" t="s">
        <v>89</v>
      </c>
      <c r="J218" s="17"/>
    </row>
    <row r="219" ht="15.75" customHeight="1">
      <c r="A219" s="13"/>
      <c r="B219" s="13" t="s">
        <v>135</v>
      </c>
      <c r="C219" s="11" t="s">
        <v>318</v>
      </c>
      <c r="D219" s="34">
        <v>1.0</v>
      </c>
      <c r="E219" s="35">
        <f>$C$13</f>
        <v>0</v>
      </c>
      <c r="F219" s="34">
        <v>18.0</v>
      </c>
      <c r="G219" s="11" t="s">
        <v>88</v>
      </c>
      <c r="H219" s="19">
        <f t="shared" si="38"/>
        <v>0</v>
      </c>
      <c r="I219" s="13" t="s">
        <v>89</v>
      </c>
      <c r="J219" s="17"/>
    </row>
    <row r="220" ht="15.75" customHeight="1">
      <c r="A220" s="13"/>
      <c r="B220" s="13" t="s">
        <v>221</v>
      </c>
      <c r="C220" s="11" t="s">
        <v>318</v>
      </c>
      <c r="D220" s="34">
        <v>5.0</v>
      </c>
      <c r="E220" s="35">
        <f>$C$16</f>
        <v>0</v>
      </c>
      <c r="F220" s="34">
        <v>2.0</v>
      </c>
      <c r="G220" s="11" t="s">
        <v>88</v>
      </c>
      <c r="H220" s="19">
        <f t="shared" si="38"/>
        <v>0</v>
      </c>
      <c r="I220" s="13" t="s">
        <v>89</v>
      </c>
      <c r="J220" s="17"/>
    </row>
    <row r="221" ht="15.75" customHeight="1">
      <c r="A221" s="28" t="s">
        <v>323</v>
      </c>
      <c r="B221" s="29" t="s">
        <v>324</v>
      </c>
      <c r="C221" s="30"/>
      <c r="D221" s="31"/>
      <c r="E221" s="31"/>
      <c r="F221" s="31"/>
      <c r="G221" s="30"/>
      <c r="H221" s="32">
        <f>SUM(H222:H225)</f>
        <v>500</v>
      </c>
      <c r="I221" s="30"/>
      <c r="J221" s="33" t="s">
        <v>325</v>
      </c>
    </row>
    <row r="222" ht="15.75" customHeight="1">
      <c r="A222" s="13"/>
      <c r="B222" s="13" t="s">
        <v>129</v>
      </c>
      <c r="C222" s="11" t="s">
        <v>318</v>
      </c>
      <c r="D222" s="34">
        <v>1.0</v>
      </c>
      <c r="E222" s="35">
        <f>$C$9</f>
        <v>0</v>
      </c>
      <c r="F222" s="34">
        <v>12.0</v>
      </c>
      <c r="G222" s="11" t="s">
        <v>88</v>
      </c>
      <c r="H222" s="19">
        <f t="shared" ref="H222:H225" si="39">D222*E222*F222</f>
        <v>0</v>
      </c>
      <c r="I222" s="13" t="s">
        <v>89</v>
      </c>
      <c r="J222" s="17"/>
    </row>
    <row r="223" ht="15.75" customHeight="1">
      <c r="A223" s="13"/>
      <c r="B223" s="13" t="s">
        <v>104</v>
      </c>
      <c r="C223" s="11" t="s">
        <v>318</v>
      </c>
      <c r="D223" s="34">
        <v>1.0</v>
      </c>
      <c r="E223" s="35">
        <f>$C$11</f>
        <v>0</v>
      </c>
      <c r="F223" s="34">
        <v>12.0</v>
      </c>
      <c r="G223" s="11" t="s">
        <v>88</v>
      </c>
      <c r="H223" s="19">
        <f t="shared" si="39"/>
        <v>0</v>
      </c>
      <c r="I223" s="13" t="s">
        <v>89</v>
      </c>
      <c r="J223" s="17"/>
    </row>
    <row r="224" ht="15.75" customHeight="1">
      <c r="A224" s="13"/>
      <c r="B224" s="13" t="s">
        <v>130</v>
      </c>
      <c r="C224" s="11" t="s">
        <v>318</v>
      </c>
      <c r="D224" s="34">
        <v>1.0</v>
      </c>
      <c r="E224" s="35">
        <f>$C$12</f>
        <v>0</v>
      </c>
      <c r="F224" s="34">
        <v>12.0</v>
      </c>
      <c r="G224" s="11" t="s">
        <v>88</v>
      </c>
      <c r="H224" s="19">
        <f t="shared" si="39"/>
        <v>0</v>
      </c>
      <c r="I224" s="13" t="s">
        <v>89</v>
      </c>
      <c r="J224" s="17"/>
    </row>
    <row r="225" ht="15.75" customHeight="1">
      <c r="A225" s="13"/>
      <c r="B225" s="13" t="s">
        <v>326</v>
      </c>
      <c r="C225" s="11" t="s">
        <v>318</v>
      </c>
      <c r="D225" s="34">
        <v>1.0</v>
      </c>
      <c r="E225" s="40">
        <v>500.0</v>
      </c>
      <c r="F225" s="34">
        <v>1.0</v>
      </c>
      <c r="G225" s="11" t="s">
        <v>274</v>
      </c>
      <c r="H225" s="19">
        <f t="shared" si="39"/>
        <v>500</v>
      </c>
      <c r="I225" s="13" t="s">
        <v>327</v>
      </c>
      <c r="J225" s="17" t="s">
        <v>328</v>
      </c>
    </row>
    <row r="226" ht="15.75" customHeight="1">
      <c r="A226" s="28" t="s">
        <v>329</v>
      </c>
      <c r="B226" s="29" t="s">
        <v>330</v>
      </c>
      <c r="C226" s="30"/>
      <c r="D226" s="31"/>
      <c r="E226" s="31"/>
      <c r="F226" s="31"/>
      <c r="G226" s="30"/>
      <c r="H226" s="32">
        <f>SUM(H227:H228)</f>
        <v>0</v>
      </c>
      <c r="I226" s="30"/>
      <c r="J226" s="33" t="s">
        <v>331</v>
      </c>
    </row>
    <row r="227" ht="15.75" customHeight="1">
      <c r="A227" s="13"/>
      <c r="B227" s="13" t="s">
        <v>90</v>
      </c>
      <c r="C227" s="11" t="s">
        <v>318</v>
      </c>
      <c r="D227" s="34">
        <v>1.0</v>
      </c>
      <c r="E227" s="35">
        <f>$C$6</f>
        <v>0</v>
      </c>
      <c r="F227" s="34">
        <v>8.0</v>
      </c>
      <c r="G227" s="11" t="s">
        <v>88</v>
      </c>
      <c r="H227" s="19">
        <f t="shared" ref="H227:H228" si="40">D227*E227*F227</f>
        <v>0</v>
      </c>
      <c r="I227" s="13" t="s">
        <v>89</v>
      </c>
      <c r="J227" s="17"/>
    </row>
    <row r="228" ht="15.75" customHeight="1">
      <c r="A228" s="13"/>
      <c r="B228" s="13" t="s">
        <v>199</v>
      </c>
      <c r="C228" s="11" t="s">
        <v>318</v>
      </c>
      <c r="D228" s="34">
        <v>1.0</v>
      </c>
      <c r="E228" s="35">
        <f>$C$14</f>
        <v>0</v>
      </c>
      <c r="F228" s="34">
        <v>12.0</v>
      </c>
      <c r="G228" s="11" t="s">
        <v>88</v>
      </c>
      <c r="H228" s="19">
        <f t="shared" si="40"/>
        <v>0</v>
      </c>
      <c r="I228" s="13" t="s">
        <v>89</v>
      </c>
      <c r="J228" s="17"/>
    </row>
    <row r="229" ht="15.75" customHeight="1">
      <c r="A229" s="28" t="s">
        <v>332</v>
      </c>
      <c r="B229" s="29" t="s">
        <v>333</v>
      </c>
      <c r="C229" s="30"/>
      <c r="D229" s="31"/>
      <c r="E229" s="31"/>
      <c r="F229" s="31"/>
      <c r="G229" s="30"/>
      <c r="H229" s="32">
        <f>SUM(H230:H232)</f>
        <v>0</v>
      </c>
      <c r="I229" s="30"/>
      <c r="J229" s="33" t="s">
        <v>334</v>
      </c>
    </row>
    <row r="230" ht="15.75" customHeight="1">
      <c r="A230" s="13"/>
      <c r="B230" s="13" t="s">
        <v>87</v>
      </c>
      <c r="C230" s="11" t="s">
        <v>318</v>
      </c>
      <c r="D230" s="34">
        <v>1.0</v>
      </c>
      <c r="E230" s="35">
        <f>$C$5</f>
        <v>0</v>
      </c>
      <c r="F230" s="34">
        <v>4.0</v>
      </c>
      <c r="G230" s="11" t="s">
        <v>88</v>
      </c>
      <c r="H230" s="19">
        <f t="shared" ref="H230:H232" si="41">D230*E230*F230</f>
        <v>0</v>
      </c>
      <c r="I230" s="13" t="s">
        <v>89</v>
      </c>
      <c r="J230" s="17"/>
    </row>
    <row r="231" ht="15.75" customHeight="1">
      <c r="A231" s="13"/>
      <c r="B231" s="13" t="s">
        <v>90</v>
      </c>
      <c r="C231" s="11" t="s">
        <v>318</v>
      </c>
      <c r="D231" s="34">
        <v>1.0</v>
      </c>
      <c r="E231" s="35">
        <f>$C$6</f>
        <v>0</v>
      </c>
      <c r="F231" s="34">
        <v>26.0</v>
      </c>
      <c r="G231" s="11" t="s">
        <v>88</v>
      </c>
      <c r="H231" s="19">
        <f t="shared" si="41"/>
        <v>0</v>
      </c>
      <c r="I231" s="13" t="s">
        <v>89</v>
      </c>
      <c r="J231" s="17"/>
    </row>
    <row r="232" ht="15.75" customHeight="1">
      <c r="A232" s="13"/>
      <c r="B232" s="13" t="s">
        <v>236</v>
      </c>
      <c r="C232" s="11" t="s">
        <v>318</v>
      </c>
      <c r="D232" s="34">
        <v>2.0</v>
      </c>
      <c r="E232" s="35">
        <f>$C$17</f>
        <v>0</v>
      </c>
      <c r="F232" s="34">
        <v>8.0</v>
      </c>
      <c r="G232" s="11" t="s">
        <v>88</v>
      </c>
      <c r="H232" s="19">
        <f t="shared" si="41"/>
        <v>0</v>
      </c>
      <c r="I232" s="13" t="s">
        <v>89</v>
      </c>
      <c r="J232" s="17"/>
    </row>
    <row r="233" ht="15.75" customHeight="1">
      <c r="A233" s="28" t="s">
        <v>335</v>
      </c>
      <c r="B233" s="29" t="s">
        <v>336</v>
      </c>
      <c r="C233" s="30"/>
      <c r="D233" s="31"/>
      <c r="E233" s="31"/>
      <c r="F233" s="31"/>
      <c r="G233" s="30"/>
      <c r="H233" s="32">
        <f>SUM(H234)</f>
        <v>0</v>
      </c>
      <c r="I233" s="30"/>
      <c r="J233" s="33" t="s">
        <v>337</v>
      </c>
    </row>
    <row r="234" ht="15.75" customHeight="1">
      <c r="A234" s="13"/>
      <c r="B234" s="13" t="s">
        <v>129</v>
      </c>
      <c r="C234" s="11" t="s">
        <v>318</v>
      </c>
      <c r="D234" s="34">
        <v>1.0</v>
      </c>
      <c r="E234" s="35">
        <f>$C$9</f>
        <v>0</v>
      </c>
      <c r="F234" s="34">
        <v>2.0</v>
      </c>
      <c r="G234" s="11" t="s">
        <v>88</v>
      </c>
      <c r="H234" s="19">
        <f>D234*E234*F234</f>
        <v>0</v>
      </c>
      <c r="I234" s="13" t="s">
        <v>89</v>
      </c>
      <c r="J234" s="17"/>
    </row>
    <row r="235" ht="15.75" customHeight="1">
      <c r="A235" s="28" t="s">
        <v>338</v>
      </c>
      <c r="B235" s="29" t="s">
        <v>339</v>
      </c>
      <c r="C235" s="30"/>
      <c r="D235" s="31"/>
      <c r="E235" s="31"/>
      <c r="F235" s="31"/>
      <c r="G235" s="30"/>
      <c r="H235" s="32">
        <f>SUM(H236:H241)</f>
        <v>0</v>
      </c>
      <c r="I235" s="30"/>
      <c r="J235" s="33" t="s">
        <v>340</v>
      </c>
    </row>
    <row r="236" ht="15.75" customHeight="1">
      <c r="A236" s="13"/>
      <c r="B236" s="13" t="s">
        <v>90</v>
      </c>
      <c r="C236" s="11" t="s">
        <v>318</v>
      </c>
      <c r="D236" s="34">
        <v>1.0</v>
      </c>
      <c r="E236" s="35">
        <f>$C$6</f>
        <v>0</v>
      </c>
      <c r="F236" s="34">
        <v>7.0</v>
      </c>
      <c r="G236" s="11" t="s">
        <v>88</v>
      </c>
      <c r="H236" s="19">
        <f t="shared" ref="H236:H241" si="42">D236*E236*F236</f>
        <v>0</v>
      </c>
      <c r="I236" s="13" t="s">
        <v>89</v>
      </c>
      <c r="J236" s="17" t="s">
        <v>341</v>
      </c>
    </row>
    <row r="237" ht="15.75" customHeight="1">
      <c r="A237" s="13"/>
      <c r="B237" s="13" t="s">
        <v>129</v>
      </c>
      <c r="C237" s="11" t="s">
        <v>318</v>
      </c>
      <c r="D237" s="34">
        <v>1.0</v>
      </c>
      <c r="E237" s="35">
        <f>$C$9</f>
        <v>0</v>
      </c>
      <c r="F237" s="34">
        <v>3.0</v>
      </c>
      <c r="G237" s="11" t="s">
        <v>88</v>
      </c>
      <c r="H237" s="19">
        <f t="shared" si="42"/>
        <v>0</v>
      </c>
      <c r="I237" s="13" t="s">
        <v>89</v>
      </c>
      <c r="J237" s="17"/>
    </row>
    <row r="238" ht="15.75" customHeight="1">
      <c r="A238" s="13"/>
      <c r="B238" s="13" t="s">
        <v>135</v>
      </c>
      <c r="C238" s="11" t="s">
        <v>318</v>
      </c>
      <c r="D238" s="34">
        <v>1.0</v>
      </c>
      <c r="E238" s="35">
        <f>$C$13</f>
        <v>0</v>
      </c>
      <c r="F238" s="34">
        <v>4.0</v>
      </c>
      <c r="G238" s="11" t="s">
        <v>88</v>
      </c>
      <c r="H238" s="19">
        <f t="shared" si="42"/>
        <v>0</v>
      </c>
      <c r="I238" s="13" t="s">
        <v>89</v>
      </c>
      <c r="J238" s="17"/>
    </row>
    <row r="239" ht="15.75" customHeight="1">
      <c r="A239" s="13"/>
      <c r="B239" s="13" t="s">
        <v>199</v>
      </c>
      <c r="C239" s="11" t="s">
        <v>318</v>
      </c>
      <c r="D239" s="34">
        <v>1.0</v>
      </c>
      <c r="E239" s="35">
        <f>$C$14</f>
        <v>0</v>
      </c>
      <c r="F239" s="34">
        <v>6.0</v>
      </c>
      <c r="G239" s="11" t="s">
        <v>88</v>
      </c>
      <c r="H239" s="19">
        <f t="shared" si="42"/>
        <v>0</v>
      </c>
      <c r="I239" s="13" t="s">
        <v>89</v>
      </c>
      <c r="J239" s="17" t="s">
        <v>341</v>
      </c>
    </row>
    <row r="240" ht="15.75" customHeight="1">
      <c r="A240" s="13"/>
      <c r="B240" s="13" t="s">
        <v>312</v>
      </c>
      <c r="C240" s="11" t="s">
        <v>318</v>
      </c>
      <c r="D240" s="34">
        <v>3.0</v>
      </c>
      <c r="E240" s="35">
        <f>$C$19</f>
        <v>0</v>
      </c>
      <c r="F240" s="34">
        <v>2.0</v>
      </c>
      <c r="G240" s="11" t="s">
        <v>88</v>
      </c>
      <c r="H240" s="19">
        <f t="shared" si="42"/>
        <v>0</v>
      </c>
      <c r="I240" s="13" t="s">
        <v>89</v>
      </c>
      <c r="J240" s="17"/>
    </row>
    <row r="241" ht="15.75" customHeight="1">
      <c r="A241" s="13"/>
      <c r="B241" s="13" t="s">
        <v>221</v>
      </c>
      <c r="C241" s="11" t="s">
        <v>318</v>
      </c>
      <c r="D241" s="34">
        <v>5.0</v>
      </c>
      <c r="E241" s="35">
        <f>$C$16</f>
        <v>0</v>
      </c>
      <c r="F241" s="34">
        <v>3.0</v>
      </c>
      <c r="G241" s="11" t="s">
        <v>88</v>
      </c>
      <c r="H241" s="19">
        <f t="shared" si="42"/>
        <v>0</v>
      </c>
      <c r="I241" s="13" t="s">
        <v>89</v>
      </c>
      <c r="J241" s="17"/>
    </row>
    <row r="242" ht="15.75" customHeight="1">
      <c r="A242" s="28" t="s">
        <v>342</v>
      </c>
      <c r="B242" s="29" t="s">
        <v>343</v>
      </c>
      <c r="C242" s="30"/>
      <c r="D242" s="31"/>
      <c r="E242" s="31"/>
      <c r="F242" s="31"/>
      <c r="G242" s="30"/>
      <c r="H242" s="32">
        <f>SUM(H243:H244)</f>
        <v>0</v>
      </c>
      <c r="I242" s="30"/>
      <c r="J242" s="33" t="s">
        <v>344</v>
      </c>
    </row>
    <row r="243" ht="15.75" customHeight="1">
      <c r="A243" s="13"/>
      <c r="B243" s="13" t="s">
        <v>90</v>
      </c>
      <c r="C243" s="11" t="s">
        <v>318</v>
      </c>
      <c r="D243" s="34">
        <v>1.0</v>
      </c>
      <c r="E243" s="35">
        <f>$C$6</f>
        <v>0</v>
      </c>
      <c r="F243" s="34">
        <v>4.0</v>
      </c>
      <c r="G243" s="11" t="s">
        <v>88</v>
      </c>
      <c r="H243" s="19">
        <f t="shared" ref="H243:H244" si="43">D243*E243*F243</f>
        <v>0</v>
      </c>
      <c r="I243" s="13" t="s">
        <v>89</v>
      </c>
      <c r="J243" s="17"/>
    </row>
    <row r="244" ht="15.75" customHeight="1">
      <c r="A244" s="13"/>
      <c r="B244" s="13" t="s">
        <v>135</v>
      </c>
      <c r="C244" s="11" t="s">
        <v>318</v>
      </c>
      <c r="D244" s="34">
        <v>1.0</v>
      </c>
      <c r="E244" s="35">
        <f>$C$13</f>
        <v>0</v>
      </c>
      <c r="F244" s="34">
        <v>4.0</v>
      </c>
      <c r="G244" s="11" t="s">
        <v>88</v>
      </c>
      <c r="H244" s="19">
        <f t="shared" si="43"/>
        <v>0</v>
      </c>
      <c r="I244" s="13" t="s">
        <v>89</v>
      </c>
      <c r="J244" s="17"/>
    </row>
    <row r="245" ht="15.75" customHeight="1">
      <c r="A245" s="28" t="s">
        <v>345</v>
      </c>
      <c r="B245" s="29" t="s">
        <v>262</v>
      </c>
      <c r="C245" s="30"/>
      <c r="D245" s="31"/>
      <c r="E245" s="31"/>
      <c r="F245" s="31"/>
      <c r="G245" s="30"/>
      <c r="H245" s="32">
        <f>SUM(H246:H247)</f>
        <v>0</v>
      </c>
      <c r="I245" s="30"/>
      <c r="J245" s="33" t="s">
        <v>346</v>
      </c>
    </row>
    <row r="246" ht="15.75" customHeight="1">
      <c r="A246" s="13"/>
      <c r="B246" s="13" t="s">
        <v>90</v>
      </c>
      <c r="C246" s="11" t="s">
        <v>318</v>
      </c>
      <c r="D246" s="34">
        <v>1.0</v>
      </c>
      <c r="E246" s="35">
        <f>$C$6</f>
        <v>0</v>
      </c>
      <c r="F246" s="34">
        <v>2.0</v>
      </c>
      <c r="G246" s="11" t="s">
        <v>88</v>
      </c>
      <c r="H246" s="19">
        <f t="shared" ref="H246:H247" si="44">D246*E246*F246</f>
        <v>0</v>
      </c>
      <c r="I246" s="13" t="s">
        <v>89</v>
      </c>
      <c r="J246" s="17"/>
    </row>
    <row r="247" ht="15.75" customHeight="1">
      <c r="A247" s="13"/>
      <c r="B247" s="13" t="s">
        <v>135</v>
      </c>
      <c r="C247" s="11" t="s">
        <v>318</v>
      </c>
      <c r="D247" s="34">
        <v>1.0</v>
      </c>
      <c r="E247" s="35">
        <f>$C$13</f>
        <v>0</v>
      </c>
      <c r="F247" s="34">
        <v>2.0</v>
      </c>
      <c r="G247" s="11" t="s">
        <v>88</v>
      </c>
      <c r="H247" s="19">
        <f t="shared" si="44"/>
        <v>0</v>
      </c>
      <c r="I247" s="13" t="s">
        <v>89</v>
      </c>
      <c r="J247" s="17"/>
    </row>
    <row r="248" ht="15.75" customHeight="1">
      <c r="A248" s="26" t="s">
        <v>347</v>
      </c>
      <c r="B248" s="10" t="s">
        <v>348</v>
      </c>
      <c r="C248" s="12"/>
      <c r="D248" s="27"/>
      <c r="E248" s="27"/>
      <c r="F248" s="27"/>
      <c r="G248" s="12"/>
      <c r="H248" s="39">
        <f>H249+H254+H264+H269+H271+H278+H282</f>
        <v>2290</v>
      </c>
      <c r="I248" s="12"/>
      <c r="J248" s="12"/>
    </row>
    <row r="249" ht="15.75" customHeight="1">
      <c r="A249" s="28" t="s">
        <v>349</v>
      </c>
      <c r="B249" s="29" t="s">
        <v>350</v>
      </c>
      <c r="C249" s="30"/>
      <c r="D249" s="31"/>
      <c r="E249" s="31"/>
      <c r="F249" s="31"/>
      <c r="G249" s="30"/>
      <c r="H249" s="32">
        <f>SUM(H250:H253)</f>
        <v>0</v>
      </c>
      <c r="I249" s="30"/>
      <c r="J249" s="33" t="s">
        <v>351</v>
      </c>
    </row>
    <row r="250" ht="15.75" customHeight="1">
      <c r="A250" s="13"/>
      <c r="B250" s="13" t="s">
        <v>129</v>
      </c>
      <c r="C250" s="11" t="s">
        <v>347</v>
      </c>
      <c r="D250" s="34">
        <v>1.0</v>
      </c>
      <c r="E250" s="35">
        <f>$C$9</f>
        <v>0</v>
      </c>
      <c r="F250" s="34">
        <v>4.0</v>
      </c>
      <c r="G250" s="11" t="s">
        <v>88</v>
      </c>
      <c r="H250" s="19">
        <f t="shared" ref="H250:H253" si="45">D250*E250*F250</f>
        <v>0</v>
      </c>
      <c r="I250" s="13" t="s">
        <v>89</v>
      </c>
      <c r="J250" s="17"/>
    </row>
    <row r="251" ht="15.75" customHeight="1">
      <c r="A251" s="13"/>
      <c r="B251" s="13" t="s">
        <v>146</v>
      </c>
      <c r="C251" s="11" t="s">
        <v>347</v>
      </c>
      <c r="D251" s="34">
        <v>1.0</v>
      </c>
      <c r="E251" s="35">
        <f>$C$10</f>
        <v>0</v>
      </c>
      <c r="F251" s="34">
        <v>12.0</v>
      </c>
      <c r="G251" s="11" t="s">
        <v>88</v>
      </c>
      <c r="H251" s="19">
        <f t="shared" si="45"/>
        <v>0</v>
      </c>
      <c r="I251" s="13" t="s">
        <v>89</v>
      </c>
      <c r="J251" s="17"/>
    </row>
    <row r="252" ht="15.75" customHeight="1">
      <c r="A252" s="13"/>
      <c r="B252" s="13" t="s">
        <v>135</v>
      </c>
      <c r="C252" s="11" t="s">
        <v>347</v>
      </c>
      <c r="D252" s="34">
        <v>1.0</v>
      </c>
      <c r="E252" s="35">
        <f>$C$13</f>
        <v>0</v>
      </c>
      <c r="F252" s="34">
        <v>18.0</v>
      </c>
      <c r="G252" s="11" t="s">
        <v>88</v>
      </c>
      <c r="H252" s="19">
        <f t="shared" si="45"/>
        <v>0</v>
      </c>
      <c r="I252" s="13" t="s">
        <v>89</v>
      </c>
      <c r="J252" s="17"/>
    </row>
    <row r="253" ht="15.75" customHeight="1">
      <c r="A253" s="13"/>
      <c r="B253" s="13" t="s">
        <v>221</v>
      </c>
      <c r="C253" s="11" t="s">
        <v>347</v>
      </c>
      <c r="D253" s="34">
        <v>20.0</v>
      </c>
      <c r="E253" s="35">
        <f>$C$16</f>
        <v>0</v>
      </c>
      <c r="F253" s="34">
        <v>2.0</v>
      </c>
      <c r="G253" s="11" t="s">
        <v>88</v>
      </c>
      <c r="H253" s="19">
        <f t="shared" si="45"/>
        <v>0</v>
      </c>
      <c r="I253" s="13" t="s">
        <v>89</v>
      </c>
      <c r="J253" s="17"/>
    </row>
    <row r="254" ht="15.75" customHeight="1">
      <c r="A254" s="28" t="s">
        <v>352</v>
      </c>
      <c r="B254" s="29" t="s">
        <v>353</v>
      </c>
      <c r="C254" s="30"/>
      <c r="D254" s="31"/>
      <c r="E254" s="31"/>
      <c r="F254" s="31"/>
      <c r="G254" s="30"/>
      <c r="H254" s="32">
        <f>SUM(H255:H263)</f>
        <v>2290</v>
      </c>
      <c r="I254" s="30"/>
      <c r="J254" s="33" t="s">
        <v>354</v>
      </c>
    </row>
    <row r="255" ht="15.75" customHeight="1">
      <c r="A255" s="13"/>
      <c r="B255" s="13" t="s">
        <v>129</v>
      </c>
      <c r="C255" s="11" t="s">
        <v>347</v>
      </c>
      <c r="D255" s="34">
        <v>1.0</v>
      </c>
      <c r="E255" s="35">
        <f>$C$9</f>
        <v>0</v>
      </c>
      <c r="F255" s="34">
        <v>26.0</v>
      </c>
      <c r="G255" s="11" t="s">
        <v>88</v>
      </c>
      <c r="H255" s="19">
        <f t="shared" ref="H255:H263" si="46">D255*E255*F255</f>
        <v>0</v>
      </c>
      <c r="I255" s="13" t="s">
        <v>89</v>
      </c>
      <c r="J255" s="17"/>
    </row>
    <row r="256" ht="15.75" customHeight="1">
      <c r="A256" s="13"/>
      <c r="B256" s="13" t="s">
        <v>104</v>
      </c>
      <c r="C256" s="11" t="s">
        <v>347</v>
      </c>
      <c r="D256" s="34">
        <v>1.0</v>
      </c>
      <c r="E256" s="35">
        <f>$C$11</f>
        <v>0</v>
      </c>
      <c r="F256" s="34">
        <v>12.0</v>
      </c>
      <c r="G256" s="11" t="s">
        <v>88</v>
      </c>
      <c r="H256" s="19">
        <f t="shared" si="46"/>
        <v>0</v>
      </c>
      <c r="I256" s="13" t="s">
        <v>89</v>
      </c>
      <c r="J256" s="17"/>
    </row>
    <row r="257" ht="15.75" customHeight="1">
      <c r="A257" s="13"/>
      <c r="B257" s="13" t="s">
        <v>130</v>
      </c>
      <c r="C257" s="11" t="s">
        <v>347</v>
      </c>
      <c r="D257" s="34">
        <v>1.0</v>
      </c>
      <c r="E257" s="35">
        <f>$C$12</f>
        <v>0</v>
      </c>
      <c r="F257" s="34">
        <v>6.0</v>
      </c>
      <c r="G257" s="11" t="s">
        <v>88</v>
      </c>
      <c r="H257" s="19">
        <f t="shared" si="46"/>
        <v>0</v>
      </c>
      <c r="I257" s="13" t="s">
        <v>89</v>
      </c>
      <c r="J257" s="17"/>
    </row>
    <row r="258" ht="15.75" customHeight="1">
      <c r="A258" s="13"/>
      <c r="B258" s="13" t="s">
        <v>200</v>
      </c>
      <c r="C258" s="11" t="s">
        <v>347</v>
      </c>
      <c r="D258" s="34">
        <v>1.0</v>
      </c>
      <c r="E258" s="35">
        <f>$C$15</f>
        <v>0</v>
      </c>
      <c r="F258" s="34">
        <v>2.0</v>
      </c>
      <c r="G258" s="11" t="s">
        <v>88</v>
      </c>
      <c r="H258" s="19">
        <f t="shared" si="46"/>
        <v>0</v>
      </c>
      <c r="I258" s="13" t="s">
        <v>89</v>
      </c>
      <c r="J258" s="17"/>
    </row>
    <row r="259" ht="15.75" customHeight="1">
      <c r="A259" s="13"/>
      <c r="B259" s="13" t="s">
        <v>355</v>
      </c>
      <c r="C259" s="11" t="s">
        <v>347</v>
      </c>
      <c r="D259" s="34">
        <v>120.0</v>
      </c>
      <c r="E259" s="40">
        <v>10.0</v>
      </c>
      <c r="F259" s="34">
        <v>1.0</v>
      </c>
      <c r="G259" s="11" t="s">
        <v>356</v>
      </c>
      <c r="H259" s="19">
        <f t="shared" si="46"/>
        <v>1200</v>
      </c>
      <c r="I259" s="13" t="s">
        <v>228</v>
      </c>
      <c r="J259" s="17" t="s">
        <v>357</v>
      </c>
    </row>
    <row r="260" ht="15.75" customHeight="1">
      <c r="A260" s="13"/>
      <c r="B260" s="13" t="s">
        <v>358</v>
      </c>
      <c r="C260" s="11" t="s">
        <v>347</v>
      </c>
      <c r="D260" s="34">
        <v>120.0</v>
      </c>
      <c r="E260" s="40">
        <v>3.0</v>
      </c>
      <c r="F260" s="34">
        <v>1.0</v>
      </c>
      <c r="G260" s="11" t="s">
        <v>274</v>
      </c>
      <c r="H260" s="19">
        <f t="shared" si="46"/>
        <v>360</v>
      </c>
      <c r="I260" s="13" t="s">
        <v>228</v>
      </c>
      <c r="J260" s="17"/>
    </row>
    <row r="261" ht="15.75" customHeight="1">
      <c r="A261" s="13"/>
      <c r="B261" s="13" t="s">
        <v>359</v>
      </c>
      <c r="C261" s="11" t="s">
        <v>347</v>
      </c>
      <c r="D261" s="34">
        <v>6.0</v>
      </c>
      <c r="E261" s="40">
        <v>30.0</v>
      </c>
      <c r="F261" s="34">
        <v>1.0</v>
      </c>
      <c r="G261" s="11" t="s">
        <v>274</v>
      </c>
      <c r="H261" s="19">
        <f t="shared" si="46"/>
        <v>180</v>
      </c>
      <c r="I261" s="13" t="s">
        <v>211</v>
      </c>
      <c r="J261" s="17" t="s">
        <v>360</v>
      </c>
    </row>
    <row r="262" ht="15.75" customHeight="1">
      <c r="A262" s="13"/>
      <c r="B262" s="13" t="s">
        <v>361</v>
      </c>
      <c r="C262" s="11" t="s">
        <v>347</v>
      </c>
      <c r="D262" s="34">
        <v>1.0</v>
      </c>
      <c r="E262" s="40">
        <v>100.0</v>
      </c>
      <c r="F262" s="34">
        <v>1.0</v>
      </c>
      <c r="G262" s="11" t="s">
        <v>274</v>
      </c>
      <c r="H262" s="19">
        <f t="shared" si="46"/>
        <v>100</v>
      </c>
      <c r="I262" s="13" t="s">
        <v>187</v>
      </c>
      <c r="J262" s="17"/>
    </row>
    <row r="263" ht="15.75" customHeight="1">
      <c r="A263" s="13"/>
      <c r="B263" s="13" t="s">
        <v>362</v>
      </c>
      <c r="C263" s="11" t="s">
        <v>347</v>
      </c>
      <c r="D263" s="34">
        <v>1.0</v>
      </c>
      <c r="E263" s="40">
        <v>450.0</v>
      </c>
      <c r="F263" s="34">
        <v>1.0</v>
      </c>
      <c r="G263" s="11" t="s">
        <v>274</v>
      </c>
      <c r="H263" s="19">
        <f t="shared" si="46"/>
        <v>450</v>
      </c>
      <c r="I263" s="13" t="s">
        <v>327</v>
      </c>
      <c r="J263" s="17"/>
    </row>
    <row r="264" ht="15.75" customHeight="1">
      <c r="A264" s="28" t="s">
        <v>363</v>
      </c>
      <c r="B264" s="29" t="s">
        <v>364</v>
      </c>
      <c r="C264" s="30"/>
      <c r="D264" s="31"/>
      <c r="E264" s="31"/>
      <c r="F264" s="31"/>
      <c r="G264" s="30"/>
      <c r="H264" s="32">
        <f>SUM(H265:H268)</f>
        <v>0</v>
      </c>
      <c r="I264" s="30"/>
      <c r="J264" s="33" t="s">
        <v>365</v>
      </c>
    </row>
    <row r="265" ht="15.75" customHeight="1">
      <c r="A265" s="13"/>
      <c r="B265" s="13" t="s">
        <v>90</v>
      </c>
      <c r="C265" s="11" t="s">
        <v>347</v>
      </c>
      <c r="D265" s="34">
        <v>1.0</v>
      </c>
      <c r="E265" s="35">
        <f>$C$6</f>
        <v>0</v>
      </c>
      <c r="F265" s="34">
        <v>16.0</v>
      </c>
      <c r="G265" s="11" t="s">
        <v>88</v>
      </c>
      <c r="H265" s="19">
        <f t="shared" ref="H265:H268" si="47">D265*E265*F265</f>
        <v>0</v>
      </c>
      <c r="I265" s="13" t="s">
        <v>89</v>
      </c>
      <c r="J265" s="17"/>
    </row>
    <row r="266" ht="15.75" customHeight="1">
      <c r="A266" s="13"/>
      <c r="B266" s="13" t="s">
        <v>129</v>
      </c>
      <c r="C266" s="11" t="s">
        <v>347</v>
      </c>
      <c r="D266" s="34">
        <v>1.0</v>
      </c>
      <c r="E266" s="35">
        <f>$C$9</f>
        <v>0</v>
      </c>
      <c r="F266" s="34">
        <v>2.0</v>
      </c>
      <c r="G266" s="11" t="s">
        <v>88</v>
      </c>
      <c r="H266" s="19">
        <f t="shared" si="47"/>
        <v>0</v>
      </c>
      <c r="I266" s="13" t="s">
        <v>89</v>
      </c>
      <c r="J266" s="17"/>
    </row>
    <row r="267" ht="15.75" customHeight="1">
      <c r="A267" s="13"/>
      <c r="B267" s="13" t="s">
        <v>146</v>
      </c>
      <c r="C267" s="11" t="s">
        <v>347</v>
      </c>
      <c r="D267" s="34">
        <v>1.0</v>
      </c>
      <c r="E267" s="35">
        <f>$C$10</f>
        <v>0</v>
      </c>
      <c r="F267" s="34">
        <v>2.0</v>
      </c>
      <c r="G267" s="11" t="s">
        <v>88</v>
      </c>
      <c r="H267" s="19">
        <f t="shared" si="47"/>
        <v>0</v>
      </c>
      <c r="I267" s="13" t="s">
        <v>89</v>
      </c>
      <c r="J267" s="17"/>
    </row>
    <row r="268" ht="15.75" customHeight="1">
      <c r="A268" s="13"/>
      <c r="B268" s="13" t="s">
        <v>130</v>
      </c>
      <c r="C268" s="11" t="s">
        <v>347</v>
      </c>
      <c r="D268" s="34">
        <v>1.0</v>
      </c>
      <c r="E268" s="35">
        <f>$C$12</f>
        <v>0</v>
      </c>
      <c r="F268" s="34">
        <v>4.0</v>
      </c>
      <c r="G268" s="11" t="s">
        <v>88</v>
      </c>
      <c r="H268" s="19">
        <f t="shared" si="47"/>
        <v>0</v>
      </c>
      <c r="I268" s="13" t="s">
        <v>89</v>
      </c>
      <c r="J268" s="17"/>
    </row>
    <row r="269" ht="15.75" customHeight="1">
      <c r="A269" s="28" t="s">
        <v>366</v>
      </c>
      <c r="B269" s="29" t="s">
        <v>367</v>
      </c>
      <c r="C269" s="30"/>
      <c r="D269" s="31"/>
      <c r="E269" s="31"/>
      <c r="F269" s="31"/>
      <c r="G269" s="30"/>
      <c r="H269" s="32">
        <f>SUM(H270)</f>
        <v>0</v>
      </c>
      <c r="I269" s="30"/>
      <c r="J269" s="33" t="s">
        <v>368</v>
      </c>
    </row>
    <row r="270" ht="15.75" customHeight="1">
      <c r="A270" s="13"/>
      <c r="B270" s="13" t="s">
        <v>129</v>
      </c>
      <c r="C270" s="11" t="s">
        <v>347</v>
      </c>
      <c r="D270" s="34">
        <v>1.0</v>
      </c>
      <c r="E270" s="35">
        <f>$C$9</f>
        <v>0</v>
      </c>
      <c r="F270" s="34">
        <v>2.0</v>
      </c>
      <c r="G270" s="11" t="s">
        <v>88</v>
      </c>
      <c r="H270" s="19">
        <f>D270*E270*F270</f>
        <v>0</v>
      </c>
      <c r="I270" s="13" t="s">
        <v>89</v>
      </c>
      <c r="J270" s="17"/>
    </row>
    <row r="271" ht="15.75" customHeight="1">
      <c r="A271" s="28" t="s">
        <v>369</v>
      </c>
      <c r="B271" s="29" t="s">
        <v>370</v>
      </c>
      <c r="C271" s="30"/>
      <c r="D271" s="31"/>
      <c r="E271" s="31"/>
      <c r="F271" s="31"/>
      <c r="G271" s="30"/>
      <c r="H271" s="32">
        <f>SUM(H272:H277)</f>
        <v>0</v>
      </c>
      <c r="I271" s="30"/>
      <c r="J271" s="33" t="s">
        <v>371</v>
      </c>
    </row>
    <row r="272" ht="15.75" customHeight="1">
      <c r="A272" s="13"/>
      <c r="B272" s="13" t="s">
        <v>90</v>
      </c>
      <c r="C272" s="11" t="s">
        <v>347</v>
      </c>
      <c r="D272" s="34">
        <v>1.0</v>
      </c>
      <c r="E272" s="35">
        <f>$C$6</f>
        <v>0</v>
      </c>
      <c r="F272" s="34">
        <v>4.0</v>
      </c>
      <c r="G272" s="11" t="s">
        <v>88</v>
      </c>
      <c r="H272" s="19">
        <f t="shared" ref="H272:H277" si="48">D272*E272*F272</f>
        <v>0</v>
      </c>
      <c r="I272" s="13" t="s">
        <v>89</v>
      </c>
      <c r="J272" s="17"/>
    </row>
    <row r="273" ht="15.75" customHeight="1">
      <c r="A273" s="13"/>
      <c r="B273" s="13" t="s">
        <v>129</v>
      </c>
      <c r="C273" s="11" t="s">
        <v>347</v>
      </c>
      <c r="D273" s="34">
        <v>1.0</v>
      </c>
      <c r="E273" s="35">
        <f>$C$9</f>
        <v>0</v>
      </c>
      <c r="F273" s="34">
        <v>10.0</v>
      </c>
      <c r="G273" s="11" t="s">
        <v>88</v>
      </c>
      <c r="H273" s="19">
        <f t="shared" si="48"/>
        <v>0</v>
      </c>
      <c r="I273" s="13" t="s">
        <v>89</v>
      </c>
      <c r="J273" s="17"/>
    </row>
    <row r="274" ht="15.75" customHeight="1">
      <c r="A274" s="13"/>
      <c r="B274" s="13" t="s">
        <v>135</v>
      </c>
      <c r="C274" s="11" t="s">
        <v>347</v>
      </c>
      <c r="D274" s="34">
        <v>1.0</v>
      </c>
      <c r="E274" s="35">
        <f>$C$13</f>
        <v>0</v>
      </c>
      <c r="F274" s="34">
        <v>4.0</v>
      </c>
      <c r="G274" s="11" t="s">
        <v>88</v>
      </c>
      <c r="H274" s="19">
        <f t="shared" si="48"/>
        <v>0</v>
      </c>
      <c r="I274" s="13" t="s">
        <v>89</v>
      </c>
      <c r="J274" s="17"/>
    </row>
    <row r="275" ht="15.75" customHeight="1">
      <c r="A275" s="13"/>
      <c r="B275" s="13" t="s">
        <v>311</v>
      </c>
      <c r="C275" s="11" t="s">
        <v>347</v>
      </c>
      <c r="D275" s="34">
        <v>4.0</v>
      </c>
      <c r="E275" s="35">
        <f>$C$18</f>
        <v>0</v>
      </c>
      <c r="F275" s="34">
        <v>8.0</v>
      </c>
      <c r="G275" s="11" t="s">
        <v>88</v>
      </c>
      <c r="H275" s="19">
        <f t="shared" si="48"/>
        <v>0</v>
      </c>
      <c r="I275" s="13" t="s">
        <v>89</v>
      </c>
      <c r="J275" s="17"/>
    </row>
    <row r="276" ht="15.75" customHeight="1">
      <c r="A276" s="13"/>
      <c r="B276" s="13" t="s">
        <v>312</v>
      </c>
      <c r="C276" s="11" t="s">
        <v>347</v>
      </c>
      <c r="D276" s="34">
        <v>6.0</v>
      </c>
      <c r="E276" s="35">
        <f>$C$19</f>
        <v>0</v>
      </c>
      <c r="F276" s="34">
        <v>4.0</v>
      </c>
      <c r="G276" s="11" t="s">
        <v>88</v>
      </c>
      <c r="H276" s="19">
        <f t="shared" si="48"/>
        <v>0</v>
      </c>
      <c r="I276" s="13" t="s">
        <v>89</v>
      </c>
      <c r="J276" s="17"/>
    </row>
    <row r="277" ht="15.75" customHeight="1">
      <c r="A277" s="13"/>
      <c r="B277" s="13" t="s">
        <v>221</v>
      </c>
      <c r="C277" s="11" t="s">
        <v>347</v>
      </c>
      <c r="D277" s="34">
        <v>20.0</v>
      </c>
      <c r="E277" s="35">
        <f>$C$16</f>
        <v>0</v>
      </c>
      <c r="F277" s="34">
        <v>10.0</v>
      </c>
      <c r="G277" s="11" t="s">
        <v>88</v>
      </c>
      <c r="H277" s="19">
        <f t="shared" si="48"/>
        <v>0</v>
      </c>
      <c r="I277" s="13" t="s">
        <v>89</v>
      </c>
      <c r="J277" s="17"/>
    </row>
    <row r="278" ht="15.75" customHeight="1">
      <c r="A278" s="28" t="s">
        <v>372</v>
      </c>
      <c r="B278" s="29" t="s">
        <v>373</v>
      </c>
      <c r="C278" s="30"/>
      <c r="D278" s="31"/>
      <c r="E278" s="31"/>
      <c r="F278" s="31"/>
      <c r="G278" s="30"/>
      <c r="H278" s="32">
        <f>SUM(H279:H281)</f>
        <v>0</v>
      </c>
      <c r="I278" s="30"/>
      <c r="J278" s="33" t="s">
        <v>374</v>
      </c>
    </row>
    <row r="279" ht="15.75" customHeight="1">
      <c r="A279" s="13"/>
      <c r="B279" s="13" t="s">
        <v>90</v>
      </c>
      <c r="C279" s="11" t="s">
        <v>347</v>
      </c>
      <c r="D279" s="34">
        <v>1.0</v>
      </c>
      <c r="E279" s="35">
        <f>$C$6</f>
        <v>0</v>
      </c>
      <c r="F279" s="34">
        <v>4.0</v>
      </c>
      <c r="G279" s="11" t="s">
        <v>88</v>
      </c>
      <c r="H279" s="19">
        <f t="shared" ref="H279:H281" si="49">D279*E279*F279</f>
        <v>0</v>
      </c>
      <c r="I279" s="13" t="s">
        <v>89</v>
      </c>
      <c r="J279" s="17"/>
    </row>
    <row r="280" ht="15.75" customHeight="1">
      <c r="A280" s="13"/>
      <c r="B280" s="13" t="s">
        <v>146</v>
      </c>
      <c r="C280" s="11" t="s">
        <v>347</v>
      </c>
      <c r="D280" s="34">
        <v>1.0</v>
      </c>
      <c r="E280" s="35">
        <f>$C$10</f>
        <v>0</v>
      </c>
      <c r="F280" s="34">
        <v>4.0</v>
      </c>
      <c r="G280" s="11" t="s">
        <v>88</v>
      </c>
      <c r="H280" s="19">
        <f t="shared" si="49"/>
        <v>0</v>
      </c>
      <c r="I280" s="13" t="s">
        <v>89</v>
      </c>
      <c r="J280" s="17"/>
    </row>
    <row r="281" ht="15.75" customHeight="1">
      <c r="A281" s="13"/>
      <c r="B281" s="13" t="s">
        <v>135</v>
      </c>
      <c r="C281" s="11" t="s">
        <v>347</v>
      </c>
      <c r="D281" s="34">
        <v>1.0</v>
      </c>
      <c r="E281" s="35">
        <f>$C$13</f>
        <v>0</v>
      </c>
      <c r="F281" s="34">
        <v>4.0</v>
      </c>
      <c r="G281" s="11" t="s">
        <v>88</v>
      </c>
      <c r="H281" s="19">
        <f t="shared" si="49"/>
        <v>0</v>
      </c>
      <c r="I281" s="13" t="s">
        <v>89</v>
      </c>
      <c r="J281" s="17"/>
    </row>
    <row r="282" ht="15.75" customHeight="1">
      <c r="A282" s="28" t="s">
        <v>375</v>
      </c>
      <c r="B282" s="29" t="s">
        <v>376</v>
      </c>
      <c r="C282" s="30"/>
      <c r="D282" s="31"/>
      <c r="E282" s="31"/>
      <c r="F282" s="31"/>
      <c r="G282" s="30"/>
      <c r="H282" s="32">
        <f>SUM(H283:H284)</f>
        <v>0</v>
      </c>
      <c r="I282" s="30"/>
      <c r="J282" s="33" t="s">
        <v>377</v>
      </c>
    </row>
    <row r="283" ht="15.75" customHeight="1">
      <c r="A283" s="13"/>
      <c r="B283" s="13" t="s">
        <v>90</v>
      </c>
      <c r="C283" s="11" t="s">
        <v>347</v>
      </c>
      <c r="D283" s="34">
        <v>1.0</v>
      </c>
      <c r="E283" s="35">
        <f>$C$6</f>
        <v>0</v>
      </c>
      <c r="F283" s="34">
        <v>2.0</v>
      </c>
      <c r="G283" s="11" t="s">
        <v>88</v>
      </c>
      <c r="H283" s="19">
        <f t="shared" ref="H283:H284" si="50">D283*E283*F283</f>
        <v>0</v>
      </c>
      <c r="I283" s="13" t="s">
        <v>89</v>
      </c>
      <c r="J283" s="17"/>
    </row>
    <row r="284" ht="15.75" customHeight="1">
      <c r="A284" s="13"/>
      <c r="B284" s="13" t="s">
        <v>135</v>
      </c>
      <c r="C284" s="11" t="s">
        <v>347</v>
      </c>
      <c r="D284" s="34">
        <v>1.0</v>
      </c>
      <c r="E284" s="35">
        <f>$C$13</f>
        <v>0</v>
      </c>
      <c r="F284" s="34">
        <v>2.0</v>
      </c>
      <c r="G284" s="11" t="s">
        <v>88</v>
      </c>
      <c r="H284" s="19">
        <f t="shared" si="50"/>
        <v>0</v>
      </c>
      <c r="I284" s="13" t="s">
        <v>89</v>
      </c>
      <c r="J284" s="17"/>
    </row>
    <row r="285" ht="15.75" customHeight="1">
      <c r="A285" s="26" t="s">
        <v>378</v>
      </c>
      <c r="B285" s="10" t="s">
        <v>379</v>
      </c>
      <c r="C285" s="12"/>
      <c r="D285" s="27"/>
      <c r="E285" s="27"/>
      <c r="F285" s="27"/>
      <c r="G285" s="12"/>
      <c r="H285" s="39">
        <f>H286+H291+H303+H308+H315+H317+H324+H327</f>
        <v>6590</v>
      </c>
      <c r="I285" s="12"/>
      <c r="J285" s="12"/>
    </row>
    <row r="286" ht="15.75" customHeight="1">
      <c r="A286" s="28" t="s">
        <v>380</v>
      </c>
      <c r="B286" s="29" t="s">
        <v>381</v>
      </c>
      <c r="C286" s="30"/>
      <c r="D286" s="31"/>
      <c r="E286" s="31"/>
      <c r="F286" s="31"/>
      <c r="G286" s="30"/>
      <c r="H286" s="32">
        <f>SUM(H287:H290)</f>
        <v>0</v>
      </c>
      <c r="I286" s="30"/>
      <c r="J286" s="33" t="s">
        <v>382</v>
      </c>
    </row>
    <row r="287" ht="15.75" customHeight="1">
      <c r="A287" s="13"/>
      <c r="B287" s="13" t="s">
        <v>129</v>
      </c>
      <c r="C287" s="11" t="s">
        <v>378</v>
      </c>
      <c r="D287" s="34">
        <v>1.0</v>
      </c>
      <c r="E287" s="35">
        <f>$C$9</f>
        <v>0</v>
      </c>
      <c r="F287" s="34">
        <v>4.0</v>
      </c>
      <c r="G287" s="11" t="s">
        <v>88</v>
      </c>
      <c r="H287" s="19">
        <f t="shared" ref="H287:H290" si="51">D287*E287*F287</f>
        <v>0</v>
      </c>
      <c r="I287" s="13" t="s">
        <v>89</v>
      </c>
      <c r="J287" s="17"/>
    </row>
    <row r="288" ht="15.75" customHeight="1">
      <c r="A288" s="13"/>
      <c r="B288" s="13" t="s">
        <v>146</v>
      </c>
      <c r="C288" s="11" t="s">
        <v>378</v>
      </c>
      <c r="D288" s="34">
        <v>1.0</v>
      </c>
      <c r="E288" s="35">
        <f>$C$10</f>
        <v>0</v>
      </c>
      <c r="F288" s="34">
        <v>12.0</v>
      </c>
      <c r="G288" s="11" t="s">
        <v>88</v>
      </c>
      <c r="H288" s="19">
        <f t="shared" si="51"/>
        <v>0</v>
      </c>
      <c r="I288" s="13" t="s">
        <v>89</v>
      </c>
      <c r="J288" s="17"/>
    </row>
    <row r="289" ht="15.75" customHeight="1">
      <c r="A289" s="13"/>
      <c r="B289" s="13" t="s">
        <v>135</v>
      </c>
      <c r="C289" s="11" t="s">
        <v>378</v>
      </c>
      <c r="D289" s="34">
        <v>1.0</v>
      </c>
      <c r="E289" s="35">
        <f>$C$13</f>
        <v>0</v>
      </c>
      <c r="F289" s="34">
        <v>18.0</v>
      </c>
      <c r="G289" s="11" t="s">
        <v>88</v>
      </c>
      <c r="H289" s="19">
        <f t="shared" si="51"/>
        <v>0</v>
      </c>
      <c r="I289" s="13" t="s">
        <v>89</v>
      </c>
      <c r="J289" s="17"/>
    </row>
    <row r="290" ht="15.75" customHeight="1">
      <c r="A290" s="13"/>
      <c r="B290" s="13" t="s">
        <v>221</v>
      </c>
      <c r="C290" s="11" t="s">
        <v>378</v>
      </c>
      <c r="D290" s="34">
        <v>30.0</v>
      </c>
      <c r="E290" s="35">
        <f>$C$16</f>
        <v>0</v>
      </c>
      <c r="F290" s="34">
        <v>2.0</v>
      </c>
      <c r="G290" s="11" t="s">
        <v>88</v>
      </c>
      <c r="H290" s="19">
        <f t="shared" si="51"/>
        <v>0</v>
      </c>
      <c r="I290" s="13" t="s">
        <v>89</v>
      </c>
      <c r="J290" s="17"/>
    </row>
    <row r="291" ht="15.75" customHeight="1">
      <c r="A291" s="28" t="s">
        <v>383</v>
      </c>
      <c r="B291" s="29" t="s">
        <v>384</v>
      </c>
      <c r="C291" s="30"/>
      <c r="D291" s="31"/>
      <c r="E291" s="31"/>
      <c r="F291" s="31"/>
      <c r="G291" s="30"/>
      <c r="H291" s="32">
        <f>SUM(H292:H302)</f>
        <v>6590</v>
      </c>
      <c r="I291" s="30"/>
      <c r="J291" s="33" t="s">
        <v>385</v>
      </c>
    </row>
    <row r="292" ht="15.75" customHeight="1">
      <c r="A292" s="13"/>
      <c r="B292" s="13" t="s">
        <v>129</v>
      </c>
      <c r="C292" s="11" t="s">
        <v>378</v>
      </c>
      <c r="D292" s="34">
        <v>1.0</v>
      </c>
      <c r="E292" s="35">
        <f>$C$9</f>
        <v>0</v>
      </c>
      <c r="F292" s="34">
        <v>58.0</v>
      </c>
      <c r="G292" s="11" t="s">
        <v>88</v>
      </c>
      <c r="H292" s="19">
        <f t="shared" ref="H292:H302" si="52">D292*E292*F292</f>
        <v>0</v>
      </c>
      <c r="I292" s="13" t="s">
        <v>89</v>
      </c>
      <c r="J292" s="17"/>
    </row>
    <row r="293" ht="15.75" customHeight="1">
      <c r="A293" s="13"/>
      <c r="B293" s="13" t="s">
        <v>104</v>
      </c>
      <c r="C293" s="11" t="s">
        <v>378</v>
      </c>
      <c r="D293" s="34">
        <v>1.0</v>
      </c>
      <c r="E293" s="35">
        <f>$C$11</f>
        <v>0</v>
      </c>
      <c r="F293" s="34">
        <v>44.0</v>
      </c>
      <c r="G293" s="11" t="s">
        <v>88</v>
      </c>
      <c r="H293" s="19">
        <f t="shared" si="52"/>
        <v>0</v>
      </c>
      <c r="I293" s="13" t="s">
        <v>89</v>
      </c>
      <c r="J293" s="17"/>
    </row>
    <row r="294" ht="15.75" customHeight="1">
      <c r="A294" s="13"/>
      <c r="B294" s="13" t="s">
        <v>130</v>
      </c>
      <c r="C294" s="11" t="s">
        <v>378</v>
      </c>
      <c r="D294" s="34">
        <v>1.0</v>
      </c>
      <c r="E294" s="35">
        <f>$C$12</f>
        <v>0</v>
      </c>
      <c r="F294" s="34">
        <v>10.0</v>
      </c>
      <c r="G294" s="11" t="s">
        <v>88</v>
      </c>
      <c r="H294" s="19">
        <f t="shared" si="52"/>
        <v>0</v>
      </c>
      <c r="I294" s="13" t="s">
        <v>89</v>
      </c>
      <c r="J294" s="17"/>
    </row>
    <row r="295" ht="15.75" customHeight="1">
      <c r="A295" s="13"/>
      <c r="B295" s="41" t="s">
        <v>386</v>
      </c>
      <c r="C295" s="11" t="s">
        <v>378</v>
      </c>
      <c r="D295" s="34">
        <v>170.0</v>
      </c>
      <c r="E295" s="40">
        <v>8.0</v>
      </c>
      <c r="F295" s="34">
        <v>3.0</v>
      </c>
      <c r="G295" s="11" t="s">
        <v>387</v>
      </c>
      <c r="H295" s="19">
        <f t="shared" si="52"/>
        <v>4080</v>
      </c>
      <c r="I295" s="13" t="s">
        <v>228</v>
      </c>
      <c r="J295" s="17" t="s">
        <v>388</v>
      </c>
    </row>
    <row r="296" ht="15.75" customHeight="1">
      <c r="A296" s="13"/>
      <c r="B296" s="13" t="s">
        <v>389</v>
      </c>
      <c r="C296" s="11" t="s">
        <v>378</v>
      </c>
      <c r="D296" s="34">
        <v>170.0</v>
      </c>
      <c r="E296" s="40">
        <v>3.0</v>
      </c>
      <c r="F296" s="34">
        <v>1.0</v>
      </c>
      <c r="G296" s="11" t="s">
        <v>274</v>
      </c>
      <c r="H296" s="19">
        <f t="shared" si="52"/>
        <v>510</v>
      </c>
      <c r="I296" s="13" t="s">
        <v>228</v>
      </c>
      <c r="J296" s="17"/>
    </row>
    <row r="297" ht="15.75" customHeight="1">
      <c r="A297" s="13"/>
      <c r="B297" s="13" t="s">
        <v>390</v>
      </c>
      <c r="C297" s="11" t="s">
        <v>378</v>
      </c>
      <c r="D297" s="34">
        <v>2.0</v>
      </c>
      <c r="E297" s="40">
        <v>15.0</v>
      </c>
      <c r="F297" s="34">
        <v>12.0</v>
      </c>
      <c r="G297" s="11" t="s">
        <v>391</v>
      </c>
      <c r="H297" s="19">
        <f t="shared" si="52"/>
        <v>360</v>
      </c>
      <c r="I297" s="13" t="s">
        <v>211</v>
      </c>
      <c r="J297" s="17" t="s">
        <v>392</v>
      </c>
    </row>
    <row r="298" ht="15.75" customHeight="1">
      <c r="A298" s="13"/>
      <c r="B298" s="13" t="s">
        <v>393</v>
      </c>
      <c r="C298" s="11" t="s">
        <v>378</v>
      </c>
      <c r="D298" s="34">
        <v>1.0</v>
      </c>
      <c r="E298" s="40">
        <v>150.0</v>
      </c>
      <c r="F298" s="34">
        <v>1.0</v>
      </c>
      <c r="G298" s="11" t="s">
        <v>274</v>
      </c>
      <c r="H298" s="19">
        <f t="shared" si="52"/>
        <v>150</v>
      </c>
      <c r="I298" s="13" t="s">
        <v>211</v>
      </c>
      <c r="J298" s="17"/>
    </row>
    <row r="299" ht="15.75" customHeight="1">
      <c r="A299" s="13"/>
      <c r="B299" s="13" t="s">
        <v>394</v>
      </c>
      <c r="C299" s="11" t="s">
        <v>378</v>
      </c>
      <c r="D299" s="34">
        <v>1.0</v>
      </c>
      <c r="E299" s="40">
        <v>100.0</v>
      </c>
      <c r="F299" s="34">
        <v>1.0</v>
      </c>
      <c r="G299" s="11" t="s">
        <v>274</v>
      </c>
      <c r="H299" s="19">
        <f t="shared" si="52"/>
        <v>100</v>
      </c>
      <c r="I299" s="13" t="s">
        <v>187</v>
      </c>
      <c r="J299" s="17" t="s">
        <v>395</v>
      </c>
    </row>
    <row r="300" ht="15.75" customHeight="1">
      <c r="A300" s="13"/>
      <c r="B300" s="13" t="s">
        <v>396</v>
      </c>
      <c r="C300" s="11" t="s">
        <v>378</v>
      </c>
      <c r="D300" s="34">
        <v>6.0</v>
      </c>
      <c r="E300" s="40">
        <v>25.0</v>
      </c>
      <c r="F300" s="34">
        <v>1.0</v>
      </c>
      <c r="G300" s="11" t="s">
        <v>274</v>
      </c>
      <c r="H300" s="19">
        <f t="shared" si="52"/>
        <v>150</v>
      </c>
      <c r="I300" s="13" t="s">
        <v>187</v>
      </c>
      <c r="J300" s="17"/>
    </row>
    <row r="301" ht="15.75" customHeight="1">
      <c r="A301" s="13"/>
      <c r="B301" s="13" t="s">
        <v>359</v>
      </c>
      <c r="C301" s="11" t="s">
        <v>378</v>
      </c>
      <c r="D301" s="34">
        <v>8.0</v>
      </c>
      <c r="E301" s="40">
        <v>30.0</v>
      </c>
      <c r="F301" s="34">
        <v>1.0</v>
      </c>
      <c r="G301" s="11" t="s">
        <v>274</v>
      </c>
      <c r="H301" s="19">
        <f t="shared" si="52"/>
        <v>240</v>
      </c>
      <c r="I301" s="13" t="s">
        <v>211</v>
      </c>
      <c r="J301" s="17"/>
    </row>
    <row r="302" ht="15.75" customHeight="1">
      <c r="A302" s="13"/>
      <c r="B302" s="13" t="s">
        <v>397</v>
      </c>
      <c r="C302" s="11" t="s">
        <v>378</v>
      </c>
      <c r="D302" s="34">
        <v>1.0</v>
      </c>
      <c r="E302" s="40">
        <v>1000.0</v>
      </c>
      <c r="F302" s="34">
        <v>1.0</v>
      </c>
      <c r="G302" s="11" t="s">
        <v>274</v>
      </c>
      <c r="H302" s="19">
        <f t="shared" si="52"/>
        <v>1000</v>
      </c>
      <c r="I302" s="13" t="s">
        <v>327</v>
      </c>
      <c r="J302" s="17" t="s">
        <v>398</v>
      </c>
    </row>
    <row r="303" ht="15.75" customHeight="1">
      <c r="A303" s="28" t="s">
        <v>399</v>
      </c>
      <c r="B303" s="29" t="s">
        <v>400</v>
      </c>
      <c r="C303" s="30"/>
      <c r="D303" s="31"/>
      <c r="E303" s="31"/>
      <c r="F303" s="31"/>
      <c r="G303" s="30"/>
      <c r="H303" s="32">
        <f>SUM(H304:H307)</f>
        <v>0</v>
      </c>
      <c r="I303" s="30"/>
      <c r="J303" s="33" t="s">
        <v>401</v>
      </c>
    </row>
    <row r="304" ht="15.75" customHeight="1">
      <c r="A304" s="13"/>
      <c r="B304" s="13" t="s">
        <v>129</v>
      </c>
      <c r="C304" s="11" t="s">
        <v>378</v>
      </c>
      <c r="D304" s="34">
        <v>1.0</v>
      </c>
      <c r="E304" s="35">
        <f>$C$9</f>
        <v>0</v>
      </c>
      <c r="F304" s="34">
        <v>2.0</v>
      </c>
      <c r="G304" s="11" t="s">
        <v>88</v>
      </c>
      <c r="H304" s="19">
        <f t="shared" ref="H304:H307" si="53">D304*E304*F304</f>
        <v>0</v>
      </c>
      <c r="I304" s="13" t="s">
        <v>89</v>
      </c>
      <c r="J304" s="17"/>
    </row>
    <row r="305" ht="15.75" customHeight="1">
      <c r="A305" s="13"/>
      <c r="B305" s="13" t="s">
        <v>199</v>
      </c>
      <c r="C305" s="11" t="s">
        <v>378</v>
      </c>
      <c r="D305" s="34">
        <v>1.0</v>
      </c>
      <c r="E305" s="35">
        <f>$C$14</f>
        <v>0</v>
      </c>
      <c r="F305" s="34">
        <v>16.0</v>
      </c>
      <c r="G305" s="11" t="s">
        <v>88</v>
      </c>
      <c r="H305" s="19">
        <f t="shared" si="53"/>
        <v>0</v>
      </c>
      <c r="I305" s="13" t="s">
        <v>89</v>
      </c>
      <c r="J305" s="17"/>
    </row>
    <row r="306" ht="15.75" customHeight="1">
      <c r="A306" s="13"/>
      <c r="B306" s="13" t="s">
        <v>200</v>
      </c>
      <c r="C306" s="11" t="s">
        <v>378</v>
      </c>
      <c r="D306" s="34">
        <v>1.0</v>
      </c>
      <c r="E306" s="35">
        <f>$C$15</f>
        <v>0</v>
      </c>
      <c r="F306" s="34">
        <v>18.0</v>
      </c>
      <c r="G306" s="11" t="s">
        <v>88</v>
      </c>
      <c r="H306" s="19">
        <f t="shared" si="53"/>
        <v>0</v>
      </c>
      <c r="I306" s="13" t="s">
        <v>89</v>
      </c>
      <c r="J306" s="17"/>
    </row>
    <row r="307" ht="15.75" customHeight="1">
      <c r="A307" s="13"/>
      <c r="B307" s="13" t="s">
        <v>402</v>
      </c>
      <c r="C307" s="11" t="s">
        <v>378</v>
      </c>
      <c r="D307" s="34">
        <v>1.0</v>
      </c>
      <c r="E307" s="40">
        <v>0.0</v>
      </c>
      <c r="F307" s="34">
        <v>1.0</v>
      </c>
      <c r="G307" s="11" t="s">
        <v>274</v>
      </c>
      <c r="H307" s="19">
        <f t="shared" si="53"/>
        <v>0</v>
      </c>
      <c r="I307" s="13" t="s">
        <v>203</v>
      </c>
      <c r="J307" s="17" t="s">
        <v>403</v>
      </c>
    </row>
    <row r="308" ht="15.75" customHeight="1">
      <c r="A308" s="28" t="s">
        <v>404</v>
      </c>
      <c r="B308" s="29" t="s">
        <v>405</v>
      </c>
      <c r="C308" s="30"/>
      <c r="D308" s="31"/>
      <c r="E308" s="31"/>
      <c r="F308" s="31"/>
      <c r="G308" s="30"/>
      <c r="H308" s="32">
        <f>SUM(H309:H314)</f>
        <v>0</v>
      </c>
      <c r="I308" s="30"/>
      <c r="J308" s="33" t="s">
        <v>406</v>
      </c>
    </row>
    <row r="309" ht="15.75" customHeight="1">
      <c r="A309" s="13"/>
      <c r="B309" s="13" t="s">
        <v>87</v>
      </c>
      <c r="C309" s="11" t="s">
        <v>378</v>
      </c>
      <c r="D309" s="34">
        <v>1.0</v>
      </c>
      <c r="E309" s="35">
        <f>$C$5</f>
        <v>0</v>
      </c>
      <c r="F309" s="34">
        <v>2.0</v>
      </c>
      <c r="G309" s="11" t="s">
        <v>88</v>
      </c>
      <c r="H309" s="19">
        <f t="shared" ref="H309:H314" si="54">D309*E309*F309</f>
        <v>0</v>
      </c>
      <c r="I309" s="13" t="s">
        <v>89</v>
      </c>
      <c r="J309" s="17"/>
    </row>
    <row r="310" ht="15.75" customHeight="1">
      <c r="A310" s="13"/>
      <c r="B310" s="13" t="s">
        <v>90</v>
      </c>
      <c r="C310" s="11" t="s">
        <v>378</v>
      </c>
      <c r="D310" s="34">
        <v>1.0</v>
      </c>
      <c r="E310" s="35">
        <f>$C$6</f>
        <v>0</v>
      </c>
      <c r="F310" s="34">
        <v>22.0</v>
      </c>
      <c r="G310" s="11" t="s">
        <v>88</v>
      </c>
      <c r="H310" s="19">
        <f t="shared" si="54"/>
        <v>0</v>
      </c>
      <c r="I310" s="13" t="s">
        <v>89</v>
      </c>
      <c r="J310" s="17"/>
    </row>
    <row r="311" ht="15.75" customHeight="1">
      <c r="A311" s="13"/>
      <c r="B311" s="13" t="s">
        <v>129</v>
      </c>
      <c r="C311" s="11" t="s">
        <v>378</v>
      </c>
      <c r="D311" s="34">
        <v>1.0</v>
      </c>
      <c r="E311" s="35">
        <f>$C$9</f>
        <v>0</v>
      </c>
      <c r="F311" s="34">
        <v>2.0</v>
      </c>
      <c r="G311" s="11" t="s">
        <v>88</v>
      </c>
      <c r="H311" s="19">
        <f t="shared" si="54"/>
        <v>0</v>
      </c>
      <c r="I311" s="13" t="s">
        <v>89</v>
      </c>
      <c r="J311" s="17"/>
    </row>
    <row r="312" ht="15.75" customHeight="1">
      <c r="A312" s="13"/>
      <c r="B312" s="13" t="s">
        <v>146</v>
      </c>
      <c r="C312" s="11" t="s">
        <v>378</v>
      </c>
      <c r="D312" s="34">
        <v>1.0</v>
      </c>
      <c r="E312" s="35">
        <f>$C$10</f>
        <v>0</v>
      </c>
      <c r="F312" s="34">
        <v>2.0</v>
      </c>
      <c r="G312" s="11" t="s">
        <v>88</v>
      </c>
      <c r="H312" s="19">
        <f t="shared" si="54"/>
        <v>0</v>
      </c>
      <c r="I312" s="13" t="s">
        <v>89</v>
      </c>
      <c r="J312" s="17"/>
    </row>
    <row r="313" ht="15.75" customHeight="1">
      <c r="A313" s="13"/>
      <c r="B313" s="13" t="s">
        <v>104</v>
      </c>
      <c r="C313" s="11" t="s">
        <v>378</v>
      </c>
      <c r="D313" s="34">
        <v>1.0</v>
      </c>
      <c r="E313" s="35">
        <f>$C$11</f>
        <v>0</v>
      </c>
      <c r="F313" s="34">
        <v>8.0</v>
      </c>
      <c r="G313" s="11" t="s">
        <v>88</v>
      </c>
      <c r="H313" s="19">
        <f t="shared" si="54"/>
        <v>0</v>
      </c>
      <c r="I313" s="13" t="s">
        <v>89</v>
      </c>
      <c r="J313" s="17"/>
    </row>
    <row r="314" ht="15.75" customHeight="1">
      <c r="A314" s="13"/>
      <c r="B314" s="13" t="s">
        <v>130</v>
      </c>
      <c r="C314" s="11" t="s">
        <v>378</v>
      </c>
      <c r="D314" s="34">
        <v>1.0</v>
      </c>
      <c r="E314" s="35">
        <f>$C$12</f>
        <v>0</v>
      </c>
      <c r="F314" s="34">
        <v>12.0</v>
      </c>
      <c r="G314" s="11" t="s">
        <v>88</v>
      </c>
      <c r="H314" s="19">
        <f t="shared" si="54"/>
        <v>0</v>
      </c>
      <c r="I314" s="13" t="s">
        <v>89</v>
      </c>
      <c r="J314" s="17"/>
    </row>
    <row r="315" ht="15.75" customHeight="1">
      <c r="A315" s="28" t="s">
        <v>407</v>
      </c>
      <c r="B315" s="29" t="s">
        <v>408</v>
      </c>
      <c r="C315" s="30"/>
      <c r="D315" s="31"/>
      <c r="E315" s="31"/>
      <c r="F315" s="31"/>
      <c r="G315" s="30"/>
      <c r="H315" s="32">
        <f>SUM(H316)</f>
        <v>0</v>
      </c>
      <c r="I315" s="30"/>
      <c r="J315" s="33" t="s">
        <v>409</v>
      </c>
    </row>
    <row r="316" ht="15.75" customHeight="1">
      <c r="A316" s="13"/>
      <c r="B316" s="13" t="s">
        <v>129</v>
      </c>
      <c r="C316" s="11" t="s">
        <v>378</v>
      </c>
      <c r="D316" s="34">
        <v>1.0</v>
      </c>
      <c r="E316" s="35">
        <f>$C$9</f>
        <v>0</v>
      </c>
      <c r="F316" s="34">
        <v>4.0</v>
      </c>
      <c r="G316" s="11" t="s">
        <v>88</v>
      </c>
      <c r="H316" s="19">
        <f>D316*E316*F316</f>
        <v>0</v>
      </c>
      <c r="I316" s="13" t="s">
        <v>89</v>
      </c>
      <c r="J316" s="17"/>
    </row>
    <row r="317" ht="15.75" customHeight="1">
      <c r="A317" s="28" t="s">
        <v>410</v>
      </c>
      <c r="B317" s="29" t="s">
        <v>411</v>
      </c>
      <c r="C317" s="30"/>
      <c r="D317" s="31"/>
      <c r="E317" s="31"/>
      <c r="F317" s="31"/>
      <c r="G317" s="30"/>
      <c r="H317" s="32">
        <f>SUM(H318:H323)</f>
        <v>0</v>
      </c>
      <c r="I317" s="30"/>
      <c r="J317" s="33" t="s">
        <v>412</v>
      </c>
    </row>
    <row r="318" ht="15.75" customHeight="1">
      <c r="A318" s="13"/>
      <c r="B318" s="13" t="s">
        <v>129</v>
      </c>
      <c r="C318" s="11" t="s">
        <v>378</v>
      </c>
      <c r="D318" s="34">
        <v>1.0</v>
      </c>
      <c r="E318" s="35">
        <f>$C$9</f>
        <v>0</v>
      </c>
      <c r="F318" s="34">
        <v>28.0</v>
      </c>
      <c r="G318" s="11" t="s">
        <v>88</v>
      </c>
      <c r="H318" s="19">
        <f t="shared" ref="H318:H323" si="55">D318*E318*F318</f>
        <v>0</v>
      </c>
      <c r="I318" s="13" t="s">
        <v>89</v>
      </c>
      <c r="J318" s="17"/>
    </row>
    <row r="319" ht="15.75" customHeight="1">
      <c r="A319" s="13"/>
      <c r="B319" s="13" t="s">
        <v>135</v>
      </c>
      <c r="C319" s="11" t="s">
        <v>378</v>
      </c>
      <c r="D319" s="34">
        <v>1.0</v>
      </c>
      <c r="E319" s="35">
        <f>$C$13</f>
        <v>0</v>
      </c>
      <c r="F319" s="34">
        <v>4.0</v>
      </c>
      <c r="G319" s="11" t="s">
        <v>88</v>
      </c>
      <c r="H319" s="19">
        <f t="shared" si="55"/>
        <v>0</v>
      </c>
      <c r="I319" s="13" t="s">
        <v>89</v>
      </c>
      <c r="J319" s="17"/>
    </row>
    <row r="320" ht="15.75" customHeight="1">
      <c r="A320" s="13"/>
      <c r="B320" s="13" t="s">
        <v>200</v>
      </c>
      <c r="C320" s="11" t="s">
        <v>378</v>
      </c>
      <c r="D320" s="34">
        <v>1.0</v>
      </c>
      <c r="E320" s="35">
        <f>$C$15</f>
        <v>0</v>
      </c>
      <c r="F320" s="34">
        <v>24.0</v>
      </c>
      <c r="G320" s="11" t="s">
        <v>88</v>
      </c>
      <c r="H320" s="19">
        <f t="shared" si="55"/>
        <v>0</v>
      </c>
      <c r="I320" s="13" t="s">
        <v>89</v>
      </c>
      <c r="J320" s="17"/>
    </row>
    <row r="321" ht="15.75" customHeight="1">
      <c r="A321" s="13"/>
      <c r="B321" s="13" t="s">
        <v>311</v>
      </c>
      <c r="C321" s="11" t="s">
        <v>378</v>
      </c>
      <c r="D321" s="34">
        <v>6.0</v>
      </c>
      <c r="E321" s="35">
        <f>$C$18</f>
        <v>0</v>
      </c>
      <c r="F321" s="34">
        <v>12.0</v>
      </c>
      <c r="G321" s="11" t="s">
        <v>88</v>
      </c>
      <c r="H321" s="19">
        <f t="shared" si="55"/>
        <v>0</v>
      </c>
      <c r="I321" s="13" t="s">
        <v>89</v>
      </c>
      <c r="J321" s="17"/>
    </row>
    <row r="322" ht="15.75" customHeight="1">
      <c r="A322" s="13"/>
      <c r="B322" s="13" t="s">
        <v>312</v>
      </c>
      <c r="C322" s="11" t="s">
        <v>378</v>
      </c>
      <c r="D322" s="34">
        <v>8.0</v>
      </c>
      <c r="E322" s="35">
        <f>$C$19</f>
        <v>0</v>
      </c>
      <c r="F322" s="34">
        <v>6.0</v>
      </c>
      <c r="G322" s="11" t="s">
        <v>88</v>
      </c>
      <c r="H322" s="19">
        <f t="shared" si="55"/>
        <v>0</v>
      </c>
      <c r="I322" s="13" t="s">
        <v>89</v>
      </c>
      <c r="J322" s="17"/>
    </row>
    <row r="323" ht="15.75" customHeight="1">
      <c r="A323" s="13"/>
      <c r="B323" s="13" t="s">
        <v>221</v>
      </c>
      <c r="C323" s="11" t="s">
        <v>378</v>
      </c>
      <c r="D323" s="34">
        <v>30.0</v>
      </c>
      <c r="E323" s="35">
        <f>$C$16</f>
        <v>0</v>
      </c>
      <c r="F323" s="34">
        <v>12.0</v>
      </c>
      <c r="G323" s="11" t="s">
        <v>88</v>
      </c>
      <c r="H323" s="19">
        <f t="shared" si="55"/>
        <v>0</v>
      </c>
      <c r="I323" s="13" t="s">
        <v>89</v>
      </c>
      <c r="J323" s="17"/>
    </row>
    <row r="324" ht="15.75" customHeight="1">
      <c r="A324" s="28" t="s">
        <v>413</v>
      </c>
      <c r="B324" s="29" t="s">
        <v>414</v>
      </c>
      <c r="C324" s="30"/>
      <c r="D324" s="31"/>
      <c r="E324" s="31"/>
      <c r="F324" s="31"/>
      <c r="G324" s="30"/>
      <c r="H324" s="32">
        <f>SUM(H325:H326)</f>
        <v>0</v>
      </c>
      <c r="I324" s="30"/>
      <c r="J324" s="33" t="s">
        <v>415</v>
      </c>
    </row>
    <row r="325" ht="15.75" customHeight="1">
      <c r="A325" s="13"/>
      <c r="B325" s="13" t="s">
        <v>90</v>
      </c>
      <c r="C325" s="11" t="s">
        <v>378</v>
      </c>
      <c r="D325" s="34">
        <v>1.0</v>
      </c>
      <c r="E325" s="35">
        <f>$C$6</f>
        <v>0</v>
      </c>
      <c r="F325" s="34">
        <v>4.0</v>
      </c>
      <c r="G325" s="11" t="s">
        <v>88</v>
      </c>
      <c r="H325" s="19">
        <f t="shared" ref="H325:H326" si="56">D325*E325*F325</f>
        <v>0</v>
      </c>
      <c r="I325" s="13" t="s">
        <v>89</v>
      </c>
      <c r="J325" s="17"/>
    </row>
    <row r="326" ht="15.75" customHeight="1">
      <c r="A326" s="13"/>
      <c r="B326" s="13" t="s">
        <v>135</v>
      </c>
      <c r="C326" s="11" t="s">
        <v>378</v>
      </c>
      <c r="D326" s="34">
        <v>1.0</v>
      </c>
      <c r="E326" s="35">
        <f>$C$13</f>
        <v>0</v>
      </c>
      <c r="F326" s="34">
        <v>4.0</v>
      </c>
      <c r="G326" s="11" t="s">
        <v>88</v>
      </c>
      <c r="H326" s="19">
        <f t="shared" si="56"/>
        <v>0</v>
      </c>
      <c r="I326" s="13" t="s">
        <v>89</v>
      </c>
      <c r="J326" s="17"/>
    </row>
    <row r="327" ht="15.75" customHeight="1">
      <c r="A327" s="28" t="s">
        <v>416</v>
      </c>
      <c r="B327" s="29" t="s">
        <v>417</v>
      </c>
      <c r="C327" s="30"/>
      <c r="D327" s="31"/>
      <c r="E327" s="31"/>
      <c r="F327" s="31"/>
      <c r="G327" s="30"/>
      <c r="H327" s="32">
        <f>SUM(H328:H329)</f>
        <v>0</v>
      </c>
      <c r="I327" s="30"/>
      <c r="J327" s="33" t="s">
        <v>418</v>
      </c>
    </row>
    <row r="328" ht="15.75" customHeight="1">
      <c r="A328" s="13"/>
      <c r="B328" s="13" t="s">
        <v>90</v>
      </c>
      <c r="C328" s="11" t="s">
        <v>378</v>
      </c>
      <c r="D328" s="34">
        <v>1.0</v>
      </c>
      <c r="E328" s="35">
        <f>$C$6</f>
        <v>0</v>
      </c>
      <c r="F328" s="34">
        <v>2.0</v>
      </c>
      <c r="G328" s="11" t="s">
        <v>88</v>
      </c>
      <c r="H328" s="19">
        <f t="shared" ref="H328:H329" si="57">D328*E328*F328</f>
        <v>0</v>
      </c>
      <c r="I328" s="13" t="s">
        <v>89</v>
      </c>
      <c r="J328" s="17"/>
    </row>
    <row r="329" ht="15.75" customHeight="1">
      <c r="A329" s="13"/>
      <c r="B329" s="13" t="s">
        <v>135</v>
      </c>
      <c r="C329" s="11" t="s">
        <v>378</v>
      </c>
      <c r="D329" s="34">
        <v>1.0</v>
      </c>
      <c r="E329" s="35">
        <f>$C$13</f>
        <v>0</v>
      </c>
      <c r="F329" s="34">
        <v>2.0</v>
      </c>
      <c r="G329" s="11" t="s">
        <v>88</v>
      </c>
      <c r="H329" s="19">
        <f t="shared" si="57"/>
        <v>0</v>
      </c>
      <c r="I329" s="13" t="s">
        <v>89</v>
      </c>
      <c r="J329" s="17"/>
    </row>
    <row r="330" ht="15.75" customHeight="1">
      <c r="A330" s="36"/>
      <c r="B330" s="36"/>
      <c r="C330" s="36"/>
      <c r="D330" s="37"/>
      <c r="E330" s="37"/>
      <c r="F330" s="37"/>
      <c r="G330" s="38" t="s">
        <v>419</v>
      </c>
      <c r="H330" s="25">
        <f>H75+H92+H103+H129+H155+H183+H215+H248+H285</f>
        <v>14520</v>
      </c>
      <c r="I330" s="36"/>
      <c r="J330" s="36"/>
    </row>
    <row r="331" ht="15.75" customHeight="1">
      <c r="A331" s="26" t="s">
        <v>420</v>
      </c>
      <c r="B331" s="10" t="s">
        <v>421</v>
      </c>
      <c r="C331" s="12"/>
      <c r="D331" s="27"/>
      <c r="E331" s="27"/>
      <c r="F331" s="27"/>
      <c r="G331" s="12"/>
      <c r="H331" s="12"/>
      <c r="I331" s="12"/>
      <c r="J331" s="12"/>
    </row>
    <row r="332" ht="15.75" customHeight="1">
      <c r="A332" s="28" t="s">
        <v>422</v>
      </c>
      <c r="B332" s="29" t="s">
        <v>423</v>
      </c>
      <c r="C332" s="30"/>
      <c r="D332" s="31"/>
      <c r="E332" s="31"/>
      <c r="F332" s="31"/>
      <c r="G332" s="30"/>
      <c r="H332" s="32">
        <f>SUM(H333:H334)</f>
        <v>0</v>
      </c>
      <c r="I332" s="30"/>
      <c r="J332" s="33" t="s">
        <v>424</v>
      </c>
    </row>
    <row r="333" ht="15.75" customHeight="1">
      <c r="A333" s="13"/>
      <c r="B333" s="13" t="s">
        <v>90</v>
      </c>
      <c r="C333" s="11" t="s">
        <v>420</v>
      </c>
      <c r="D333" s="34">
        <v>1.0</v>
      </c>
      <c r="E333" s="35">
        <f>$C$6</f>
        <v>0</v>
      </c>
      <c r="F333" s="34">
        <v>82.0</v>
      </c>
      <c r="G333" s="11" t="s">
        <v>88</v>
      </c>
      <c r="H333" s="19">
        <f t="shared" ref="H333:H334" si="58">D333*E333*F333</f>
        <v>0</v>
      </c>
      <c r="I333" s="13" t="s">
        <v>89</v>
      </c>
      <c r="J333" s="17" t="s">
        <v>425</v>
      </c>
    </row>
    <row r="334" ht="15.75" customHeight="1">
      <c r="A334" s="13"/>
      <c r="B334" s="13" t="s">
        <v>111</v>
      </c>
      <c r="C334" s="11" t="s">
        <v>420</v>
      </c>
      <c r="D334" s="34">
        <v>7.0</v>
      </c>
      <c r="E334" s="35">
        <f>$C$8</f>
        <v>0</v>
      </c>
      <c r="F334" s="34">
        <v>66.0</v>
      </c>
      <c r="G334" s="11" t="s">
        <v>88</v>
      </c>
      <c r="H334" s="19">
        <f t="shared" si="58"/>
        <v>0</v>
      </c>
      <c r="I334" s="13" t="s">
        <v>89</v>
      </c>
      <c r="J334" s="17" t="s">
        <v>425</v>
      </c>
    </row>
    <row r="335" ht="15.75" customHeight="1">
      <c r="A335" s="28" t="s">
        <v>426</v>
      </c>
      <c r="B335" s="29" t="s">
        <v>427</v>
      </c>
      <c r="C335" s="30"/>
      <c r="D335" s="31"/>
      <c r="E335" s="31"/>
      <c r="F335" s="31"/>
      <c r="G335" s="30"/>
      <c r="H335" s="32">
        <f>SUM(H336:H337)</f>
        <v>0</v>
      </c>
      <c r="I335" s="30"/>
      <c r="J335" s="33" t="s">
        <v>428</v>
      </c>
    </row>
    <row r="336" ht="15.75" customHeight="1">
      <c r="A336" s="13"/>
      <c r="B336" s="13" t="s">
        <v>87</v>
      </c>
      <c r="C336" s="11" t="s">
        <v>420</v>
      </c>
      <c r="D336" s="34">
        <v>1.0</v>
      </c>
      <c r="E336" s="35">
        <f>$C$5</f>
        <v>0</v>
      </c>
      <c r="F336" s="34">
        <v>10.0</v>
      </c>
      <c r="G336" s="11" t="s">
        <v>88</v>
      </c>
      <c r="H336" s="19">
        <f t="shared" ref="H336:H337" si="59">D336*E336*F336</f>
        <v>0</v>
      </c>
      <c r="I336" s="13" t="s">
        <v>89</v>
      </c>
      <c r="J336" s="17" t="s">
        <v>429</v>
      </c>
    </row>
    <row r="337" ht="15.75" customHeight="1">
      <c r="A337" s="13"/>
      <c r="B337" s="13" t="s">
        <v>90</v>
      </c>
      <c r="C337" s="11" t="s">
        <v>420</v>
      </c>
      <c r="D337" s="34">
        <v>1.0</v>
      </c>
      <c r="E337" s="35">
        <f>$C$6</f>
        <v>0</v>
      </c>
      <c r="F337" s="34">
        <v>20.0</v>
      </c>
      <c r="G337" s="11" t="s">
        <v>88</v>
      </c>
      <c r="H337" s="19">
        <f t="shared" si="59"/>
        <v>0</v>
      </c>
      <c r="I337" s="13" t="s">
        <v>89</v>
      </c>
      <c r="J337" s="17" t="s">
        <v>429</v>
      </c>
    </row>
    <row r="338" ht="15.75" customHeight="1">
      <c r="A338" s="28" t="s">
        <v>430</v>
      </c>
      <c r="B338" s="29" t="s">
        <v>431</v>
      </c>
      <c r="C338" s="30"/>
      <c r="D338" s="31"/>
      <c r="E338" s="31"/>
      <c r="F338" s="31"/>
      <c r="G338" s="30"/>
      <c r="H338" s="42">
        <f>H339+H343+H347+H353+H359+H365+H371</f>
        <v>0</v>
      </c>
      <c r="I338" s="30"/>
      <c r="J338" s="30"/>
    </row>
    <row r="339" ht="15.75" customHeight="1">
      <c r="A339" s="28" t="s">
        <v>432</v>
      </c>
      <c r="B339" s="29" t="s">
        <v>433</v>
      </c>
      <c r="C339" s="30"/>
      <c r="D339" s="31"/>
      <c r="E339" s="31"/>
      <c r="F339" s="31"/>
      <c r="G339" s="30"/>
      <c r="H339" s="32">
        <f>SUM(H340:H342)</f>
        <v>0</v>
      </c>
      <c r="I339" s="30"/>
      <c r="J339" s="33" t="s">
        <v>434</v>
      </c>
    </row>
    <row r="340" ht="15.75" customHeight="1">
      <c r="A340" s="13"/>
      <c r="B340" s="13" t="s">
        <v>146</v>
      </c>
      <c r="C340" s="11" t="s">
        <v>420</v>
      </c>
      <c r="D340" s="34">
        <v>1.0</v>
      </c>
      <c r="E340" s="35">
        <f>$C$10</f>
        <v>0</v>
      </c>
      <c r="F340" s="34">
        <v>2.0</v>
      </c>
      <c r="G340" s="11" t="s">
        <v>88</v>
      </c>
      <c r="H340" s="19">
        <f t="shared" ref="H340:H342" si="60">D340*E340*F340</f>
        <v>0</v>
      </c>
      <c r="I340" s="13" t="s">
        <v>89</v>
      </c>
      <c r="J340" s="17"/>
    </row>
    <row r="341" ht="15.75" customHeight="1">
      <c r="A341" s="13"/>
      <c r="B341" s="13" t="s">
        <v>130</v>
      </c>
      <c r="C341" s="11" t="s">
        <v>420</v>
      </c>
      <c r="D341" s="34">
        <v>1.0</v>
      </c>
      <c r="E341" s="35">
        <f>$C$12</f>
        <v>0</v>
      </c>
      <c r="F341" s="34">
        <v>2.0</v>
      </c>
      <c r="G341" s="11" t="s">
        <v>88</v>
      </c>
      <c r="H341" s="19">
        <f t="shared" si="60"/>
        <v>0</v>
      </c>
      <c r="I341" s="13" t="s">
        <v>89</v>
      </c>
      <c r="J341" s="17"/>
    </row>
    <row r="342" ht="15.75" customHeight="1">
      <c r="A342" s="13"/>
      <c r="B342" s="13" t="s">
        <v>135</v>
      </c>
      <c r="C342" s="11" t="s">
        <v>420</v>
      </c>
      <c r="D342" s="34">
        <v>1.0</v>
      </c>
      <c r="E342" s="35">
        <f>$C$13</f>
        <v>0</v>
      </c>
      <c r="F342" s="34">
        <v>2.0</v>
      </c>
      <c r="G342" s="11" t="s">
        <v>88</v>
      </c>
      <c r="H342" s="19">
        <f t="shared" si="60"/>
        <v>0</v>
      </c>
      <c r="I342" s="13" t="s">
        <v>89</v>
      </c>
      <c r="J342" s="17"/>
    </row>
    <row r="343" ht="15.75" customHeight="1">
      <c r="A343" s="28" t="s">
        <v>435</v>
      </c>
      <c r="B343" s="29" t="s">
        <v>436</v>
      </c>
      <c r="C343" s="30"/>
      <c r="D343" s="31"/>
      <c r="E343" s="31"/>
      <c r="F343" s="31"/>
      <c r="G343" s="30"/>
      <c r="H343" s="32">
        <f>SUM(H344:H346)</f>
        <v>0</v>
      </c>
      <c r="I343" s="30"/>
      <c r="J343" s="33" t="s">
        <v>437</v>
      </c>
    </row>
    <row r="344" ht="15.75" customHeight="1">
      <c r="A344" s="13"/>
      <c r="B344" s="13" t="s">
        <v>146</v>
      </c>
      <c r="C344" s="11" t="s">
        <v>420</v>
      </c>
      <c r="D344" s="34">
        <v>1.0</v>
      </c>
      <c r="E344" s="35">
        <f>$C$10</f>
        <v>0</v>
      </c>
      <c r="F344" s="34">
        <v>2.0</v>
      </c>
      <c r="G344" s="11" t="s">
        <v>88</v>
      </c>
      <c r="H344" s="19">
        <f t="shared" ref="H344:H346" si="61">D344*E344*F344</f>
        <v>0</v>
      </c>
      <c r="I344" s="13" t="s">
        <v>89</v>
      </c>
      <c r="J344" s="17"/>
    </row>
    <row r="345" ht="15.75" customHeight="1">
      <c r="A345" s="13"/>
      <c r="B345" s="13" t="s">
        <v>130</v>
      </c>
      <c r="C345" s="11" t="s">
        <v>420</v>
      </c>
      <c r="D345" s="34">
        <v>1.0</v>
      </c>
      <c r="E345" s="35">
        <f>$C$12</f>
        <v>0</v>
      </c>
      <c r="F345" s="34">
        <v>2.0</v>
      </c>
      <c r="G345" s="11" t="s">
        <v>88</v>
      </c>
      <c r="H345" s="19">
        <f t="shared" si="61"/>
        <v>0</v>
      </c>
      <c r="I345" s="13" t="s">
        <v>89</v>
      </c>
      <c r="J345" s="17"/>
    </row>
    <row r="346" ht="15.75" customHeight="1">
      <c r="A346" s="13"/>
      <c r="B346" s="13" t="s">
        <v>135</v>
      </c>
      <c r="C346" s="11" t="s">
        <v>420</v>
      </c>
      <c r="D346" s="34">
        <v>1.0</v>
      </c>
      <c r="E346" s="35">
        <f>$C$13</f>
        <v>0</v>
      </c>
      <c r="F346" s="34">
        <v>2.0</v>
      </c>
      <c r="G346" s="11" t="s">
        <v>88</v>
      </c>
      <c r="H346" s="19">
        <f t="shared" si="61"/>
        <v>0</v>
      </c>
      <c r="I346" s="13" t="s">
        <v>89</v>
      </c>
      <c r="J346" s="17"/>
    </row>
    <row r="347" ht="15.75" customHeight="1">
      <c r="A347" s="28" t="s">
        <v>438</v>
      </c>
      <c r="B347" s="29" t="s">
        <v>439</v>
      </c>
      <c r="C347" s="30"/>
      <c r="D347" s="31"/>
      <c r="E347" s="31"/>
      <c r="F347" s="31"/>
      <c r="G347" s="30"/>
      <c r="H347" s="32">
        <f>SUM(H348:H352)</f>
        <v>0</v>
      </c>
      <c r="I347" s="30"/>
      <c r="J347" s="33" t="s">
        <v>440</v>
      </c>
    </row>
    <row r="348" ht="15.75" customHeight="1">
      <c r="A348" s="13"/>
      <c r="B348" s="13" t="s">
        <v>87</v>
      </c>
      <c r="C348" s="11" t="s">
        <v>420</v>
      </c>
      <c r="D348" s="34">
        <v>1.0</v>
      </c>
      <c r="E348" s="35">
        <f>$C$5</f>
        <v>0</v>
      </c>
      <c r="F348" s="34">
        <v>2.0</v>
      </c>
      <c r="G348" s="11" t="s">
        <v>88</v>
      </c>
      <c r="H348" s="19">
        <f t="shared" ref="H348:H352" si="62">D348*E348*F348</f>
        <v>0</v>
      </c>
      <c r="I348" s="13" t="s">
        <v>89</v>
      </c>
      <c r="J348" s="17"/>
    </row>
    <row r="349" ht="15.75" customHeight="1">
      <c r="A349" s="13"/>
      <c r="B349" s="13" t="s">
        <v>90</v>
      </c>
      <c r="C349" s="11" t="s">
        <v>420</v>
      </c>
      <c r="D349" s="34">
        <v>1.0</v>
      </c>
      <c r="E349" s="35">
        <f>$C$6</f>
        <v>0</v>
      </c>
      <c r="F349" s="34">
        <v>2.0</v>
      </c>
      <c r="G349" s="11" t="s">
        <v>88</v>
      </c>
      <c r="H349" s="19">
        <f t="shared" si="62"/>
        <v>0</v>
      </c>
      <c r="I349" s="13" t="s">
        <v>89</v>
      </c>
      <c r="J349" s="17"/>
    </row>
    <row r="350" ht="15.75" customHeight="1">
      <c r="A350" s="13"/>
      <c r="B350" s="13" t="s">
        <v>146</v>
      </c>
      <c r="C350" s="11" t="s">
        <v>420</v>
      </c>
      <c r="D350" s="34">
        <v>1.0</v>
      </c>
      <c r="E350" s="35">
        <f>$C$10</f>
        <v>0</v>
      </c>
      <c r="F350" s="34">
        <v>2.0</v>
      </c>
      <c r="G350" s="11" t="s">
        <v>88</v>
      </c>
      <c r="H350" s="19">
        <f t="shared" si="62"/>
        <v>0</v>
      </c>
      <c r="I350" s="13" t="s">
        <v>89</v>
      </c>
      <c r="J350" s="17"/>
    </row>
    <row r="351" ht="15.75" customHeight="1">
      <c r="A351" s="13"/>
      <c r="B351" s="13" t="s">
        <v>130</v>
      </c>
      <c r="C351" s="11" t="s">
        <v>420</v>
      </c>
      <c r="D351" s="34">
        <v>1.0</v>
      </c>
      <c r="E351" s="35">
        <f>$C$12</f>
        <v>0</v>
      </c>
      <c r="F351" s="34">
        <v>2.0</v>
      </c>
      <c r="G351" s="11" t="s">
        <v>88</v>
      </c>
      <c r="H351" s="19">
        <f t="shared" si="62"/>
        <v>0</v>
      </c>
      <c r="I351" s="13" t="s">
        <v>89</v>
      </c>
      <c r="J351" s="17"/>
    </row>
    <row r="352" ht="15.75" customHeight="1">
      <c r="A352" s="13"/>
      <c r="B352" s="13" t="s">
        <v>135</v>
      </c>
      <c r="C352" s="11" t="s">
        <v>420</v>
      </c>
      <c r="D352" s="34">
        <v>1.0</v>
      </c>
      <c r="E352" s="35">
        <f>$C$13</f>
        <v>0</v>
      </c>
      <c r="F352" s="34">
        <v>2.0</v>
      </c>
      <c r="G352" s="11" t="s">
        <v>88</v>
      </c>
      <c r="H352" s="19">
        <f t="shared" si="62"/>
        <v>0</v>
      </c>
      <c r="I352" s="13" t="s">
        <v>89</v>
      </c>
      <c r="J352" s="17"/>
    </row>
    <row r="353" ht="15.75" customHeight="1">
      <c r="A353" s="28" t="s">
        <v>441</v>
      </c>
      <c r="B353" s="29" t="s">
        <v>442</v>
      </c>
      <c r="C353" s="30"/>
      <c r="D353" s="31"/>
      <c r="E353" s="31"/>
      <c r="F353" s="31"/>
      <c r="G353" s="30"/>
      <c r="H353" s="32">
        <f>SUM(H354:H358)</f>
        <v>0</v>
      </c>
      <c r="I353" s="30"/>
      <c r="J353" s="33" t="s">
        <v>443</v>
      </c>
    </row>
    <row r="354" ht="15.75" customHeight="1">
      <c r="A354" s="13"/>
      <c r="B354" s="13" t="s">
        <v>87</v>
      </c>
      <c r="C354" s="11" t="s">
        <v>420</v>
      </c>
      <c r="D354" s="34">
        <v>1.0</v>
      </c>
      <c r="E354" s="35">
        <f>$C$5</f>
        <v>0</v>
      </c>
      <c r="F354" s="34">
        <v>2.0</v>
      </c>
      <c r="G354" s="11" t="s">
        <v>88</v>
      </c>
      <c r="H354" s="19">
        <f t="shared" ref="H354:H358" si="63">D354*E354*F354</f>
        <v>0</v>
      </c>
      <c r="I354" s="13" t="s">
        <v>89</v>
      </c>
      <c r="J354" s="17"/>
    </row>
    <row r="355" ht="15.75" customHeight="1">
      <c r="A355" s="13"/>
      <c r="B355" s="13" t="s">
        <v>90</v>
      </c>
      <c r="C355" s="11" t="s">
        <v>420</v>
      </c>
      <c r="D355" s="34">
        <v>1.0</v>
      </c>
      <c r="E355" s="35">
        <f>$C$6</f>
        <v>0</v>
      </c>
      <c r="F355" s="34">
        <v>2.0</v>
      </c>
      <c r="G355" s="11" t="s">
        <v>88</v>
      </c>
      <c r="H355" s="19">
        <f t="shared" si="63"/>
        <v>0</v>
      </c>
      <c r="I355" s="13" t="s">
        <v>89</v>
      </c>
      <c r="J355" s="17"/>
    </row>
    <row r="356" ht="15.75" customHeight="1">
      <c r="A356" s="13"/>
      <c r="B356" s="13" t="s">
        <v>146</v>
      </c>
      <c r="C356" s="11" t="s">
        <v>420</v>
      </c>
      <c r="D356" s="34">
        <v>1.0</v>
      </c>
      <c r="E356" s="35">
        <f>$C$10</f>
        <v>0</v>
      </c>
      <c r="F356" s="34">
        <v>2.0</v>
      </c>
      <c r="G356" s="11" t="s">
        <v>88</v>
      </c>
      <c r="H356" s="19">
        <f t="shared" si="63"/>
        <v>0</v>
      </c>
      <c r="I356" s="13" t="s">
        <v>89</v>
      </c>
      <c r="J356" s="17"/>
    </row>
    <row r="357" ht="15.75" customHeight="1">
      <c r="A357" s="13"/>
      <c r="B357" s="13" t="s">
        <v>130</v>
      </c>
      <c r="C357" s="11" t="s">
        <v>420</v>
      </c>
      <c r="D357" s="34">
        <v>1.0</v>
      </c>
      <c r="E357" s="35">
        <f>$C$12</f>
        <v>0</v>
      </c>
      <c r="F357" s="34">
        <v>2.0</v>
      </c>
      <c r="G357" s="11" t="s">
        <v>88</v>
      </c>
      <c r="H357" s="19">
        <f t="shared" si="63"/>
        <v>0</v>
      </c>
      <c r="I357" s="13" t="s">
        <v>89</v>
      </c>
      <c r="J357" s="17"/>
    </row>
    <row r="358" ht="15.75" customHeight="1">
      <c r="A358" s="13"/>
      <c r="B358" s="13" t="s">
        <v>135</v>
      </c>
      <c r="C358" s="11" t="s">
        <v>420</v>
      </c>
      <c r="D358" s="34">
        <v>1.0</v>
      </c>
      <c r="E358" s="35">
        <f>$C$13</f>
        <v>0</v>
      </c>
      <c r="F358" s="34">
        <v>2.0</v>
      </c>
      <c r="G358" s="11" t="s">
        <v>88</v>
      </c>
      <c r="H358" s="19">
        <f t="shared" si="63"/>
        <v>0</v>
      </c>
      <c r="I358" s="13" t="s">
        <v>89</v>
      </c>
      <c r="J358" s="17"/>
    </row>
    <row r="359" ht="15.75" customHeight="1">
      <c r="A359" s="28" t="s">
        <v>444</v>
      </c>
      <c r="B359" s="29" t="s">
        <v>445</v>
      </c>
      <c r="C359" s="30"/>
      <c r="D359" s="31"/>
      <c r="E359" s="31"/>
      <c r="F359" s="31"/>
      <c r="G359" s="30"/>
      <c r="H359" s="32">
        <f>SUM(H360:H364)</f>
        <v>0</v>
      </c>
      <c r="I359" s="30"/>
      <c r="J359" s="33" t="s">
        <v>446</v>
      </c>
    </row>
    <row r="360" ht="15.75" customHeight="1">
      <c r="A360" s="13"/>
      <c r="B360" s="13" t="s">
        <v>87</v>
      </c>
      <c r="C360" s="11" t="s">
        <v>420</v>
      </c>
      <c r="D360" s="34">
        <v>1.0</v>
      </c>
      <c r="E360" s="35">
        <f>$C$5</f>
        <v>0</v>
      </c>
      <c r="F360" s="34">
        <v>2.0</v>
      </c>
      <c r="G360" s="11" t="s">
        <v>88</v>
      </c>
      <c r="H360" s="19">
        <f t="shared" ref="H360:H364" si="64">D360*E360*F360</f>
        <v>0</v>
      </c>
      <c r="I360" s="13" t="s">
        <v>89</v>
      </c>
      <c r="J360" s="17"/>
    </row>
    <row r="361" ht="15.75" customHeight="1">
      <c r="A361" s="13"/>
      <c r="B361" s="13" t="s">
        <v>90</v>
      </c>
      <c r="C361" s="11" t="s">
        <v>420</v>
      </c>
      <c r="D361" s="34">
        <v>1.0</v>
      </c>
      <c r="E361" s="35">
        <f>$C$6</f>
        <v>0</v>
      </c>
      <c r="F361" s="34">
        <v>2.0</v>
      </c>
      <c r="G361" s="11" t="s">
        <v>88</v>
      </c>
      <c r="H361" s="19">
        <f t="shared" si="64"/>
        <v>0</v>
      </c>
      <c r="I361" s="13" t="s">
        <v>89</v>
      </c>
      <c r="J361" s="17"/>
    </row>
    <row r="362" ht="15.75" customHeight="1">
      <c r="A362" s="13"/>
      <c r="B362" s="13" t="s">
        <v>146</v>
      </c>
      <c r="C362" s="11" t="s">
        <v>420</v>
      </c>
      <c r="D362" s="34">
        <v>1.0</v>
      </c>
      <c r="E362" s="35">
        <f>$C$10</f>
        <v>0</v>
      </c>
      <c r="F362" s="34">
        <v>2.0</v>
      </c>
      <c r="G362" s="11" t="s">
        <v>88</v>
      </c>
      <c r="H362" s="19">
        <f t="shared" si="64"/>
        <v>0</v>
      </c>
      <c r="I362" s="13" t="s">
        <v>89</v>
      </c>
      <c r="J362" s="17"/>
    </row>
    <row r="363" ht="15.75" customHeight="1">
      <c r="A363" s="13"/>
      <c r="B363" s="13" t="s">
        <v>130</v>
      </c>
      <c r="C363" s="11" t="s">
        <v>420</v>
      </c>
      <c r="D363" s="34">
        <v>1.0</v>
      </c>
      <c r="E363" s="35">
        <f>$C$12</f>
        <v>0</v>
      </c>
      <c r="F363" s="34">
        <v>2.0</v>
      </c>
      <c r="G363" s="11" t="s">
        <v>88</v>
      </c>
      <c r="H363" s="19">
        <f t="shared" si="64"/>
        <v>0</v>
      </c>
      <c r="I363" s="13" t="s">
        <v>89</v>
      </c>
      <c r="J363" s="17"/>
    </row>
    <row r="364" ht="15.75" customHeight="1">
      <c r="A364" s="13"/>
      <c r="B364" s="13" t="s">
        <v>135</v>
      </c>
      <c r="C364" s="11" t="s">
        <v>420</v>
      </c>
      <c r="D364" s="34">
        <v>1.0</v>
      </c>
      <c r="E364" s="35">
        <f>$C$13</f>
        <v>0</v>
      </c>
      <c r="F364" s="34">
        <v>2.0</v>
      </c>
      <c r="G364" s="11" t="s">
        <v>88</v>
      </c>
      <c r="H364" s="19">
        <f t="shared" si="64"/>
        <v>0</v>
      </c>
      <c r="I364" s="13" t="s">
        <v>89</v>
      </c>
      <c r="J364" s="17"/>
    </row>
    <row r="365" ht="15.75" customHeight="1">
      <c r="A365" s="28" t="s">
        <v>447</v>
      </c>
      <c r="B365" s="29" t="s">
        <v>448</v>
      </c>
      <c r="C365" s="30"/>
      <c r="D365" s="31"/>
      <c r="E365" s="31"/>
      <c r="F365" s="31"/>
      <c r="G365" s="30"/>
      <c r="H365" s="32">
        <f>SUM(H366:H370)</f>
        <v>0</v>
      </c>
      <c r="I365" s="30"/>
      <c r="J365" s="33" t="s">
        <v>449</v>
      </c>
    </row>
    <row r="366" ht="15.75" customHeight="1">
      <c r="A366" s="13"/>
      <c r="B366" s="13" t="s">
        <v>87</v>
      </c>
      <c r="C366" s="11" t="s">
        <v>420</v>
      </c>
      <c r="D366" s="34">
        <v>1.0</v>
      </c>
      <c r="E366" s="35">
        <f>$C$5</f>
        <v>0</v>
      </c>
      <c r="F366" s="34">
        <v>2.0</v>
      </c>
      <c r="G366" s="11" t="s">
        <v>88</v>
      </c>
      <c r="H366" s="19">
        <f t="shared" ref="H366:H370" si="65">D366*E366*F366</f>
        <v>0</v>
      </c>
      <c r="I366" s="13" t="s">
        <v>89</v>
      </c>
      <c r="J366" s="17"/>
    </row>
    <row r="367" ht="15.75" customHeight="1">
      <c r="A367" s="13"/>
      <c r="B367" s="13" t="s">
        <v>90</v>
      </c>
      <c r="C367" s="11" t="s">
        <v>420</v>
      </c>
      <c r="D367" s="34">
        <v>1.0</v>
      </c>
      <c r="E367" s="35">
        <f>$C$6</f>
        <v>0</v>
      </c>
      <c r="F367" s="34">
        <v>2.0</v>
      </c>
      <c r="G367" s="11" t="s">
        <v>88</v>
      </c>
      <c r="H367" s="19">
        <f t="shared" si="65"/>
        <v>0</v>
      </c>
      <c r="I367" s="13" t="s">
        <v>89</v>
      </c>
      <c r="J367" s="17"/>
    </row>
    <row r="368" ht="15.75" customHeight="1">
      <c r="A368" s="13"/>
      <c r="B368" s="13" t="s">
        <v>146</v>
      </c>
      <c r="C368" s="11" t="s">
        <v>420</v>
      </c>
      <c r="D368" s="34">
        <v>1.0</v>
      </c>
      <c r="E368" s="35">
        <f>$C$10</f>
        <v>0</v>
      </c>
      <c r="F368" s="34">
        <v>2.0</v>
      </c>
      <c r="G368" s="11" t="s">
        <v>88</v>
      </c>
      <c r="H368" s="19">
        <f t="shared" si="65"/>
        <v>0</v>
      </c>
      <c r="I368" s="13" t="s">
        <v>89</v>
      </c>
      <c r="J368" s="17"/>
    </row>
    <row r="369" ht="15.75" customHeight="1">
      <c r="A369" s="13"/>
      <c r="B369" s="13" t="s">
        <v>130</v>
      </c>
      <c r="C369" s="11" t="s">
        <v>420</v>
      </c>
      <c r="D369" s="34">
        <v>1.0</v>
      </c>
      <c r="E369" s="35">
        <f>$C$12</f>
        <v>0</v>
      </c>
      <c r="F369" s="34">
        <v>2.0</v>
      </c>
      <c r="G369" s="11" t="s">
        <v>88</v>
      </c>
      <c r="H369" s="19">
        <f t="shared" si="65"/>
        <v>0</v>
      </c>
      <c r="I369" s="13" t="s">
        <v>89</v>
      </c>
      <c r="J369" s="17"/>
    </row>
    <row r="370" ht="15.75" customHeight="1">
      <c r="A370" s="13"/>
      <c r="B370" s="13" t="s">
        <v>135</v>
      </c>
      <c r="C370" s="11" t="s">
        <v>420</v>
      </c>
      <c r="D370" s="34">
        <v>1.0</v>
      </c>
      <c r="E370" s="35">
        <f>$C$13</f>
        <v>0</v>
      </c>
      <c r="F370" s="34">
        <v>2.0</v>
      </c>
      <c r="G370" s="11" t="s">
        <v>88</v>
      </c>
      <c r="H370" s="19">
        <f t="shared" si="65"/>
        <v>0</v>
      </c>
      <c r="I370" s="13" t="s">
        <v>89</v>
      </c>
      <c r="J370" s="17"/>
    </row>
    <row r="371" ht="15.75" customHeight="1">
      <c r="A371" s="28" t="s">
        <v>450</v>
      </c>
      <c r="B371" s="29" t="s">
        <v>451</v>
      </c>
      <c r="C371" s="30"/>
      <c r="D371" s="31"/>
      <c r="E371" s="31"/>
      <c r="F371" s="31"/>
      <c r="G371" s="30"/>
      <c r="H371" s="32">
        <f>SUM(H372:H376)</f>
        <v>0</v>
      </c>
      <c r="I371" s="30"/>
      <c r="J371" s="33" t="s">
        <v>452</v>
      </c>
    </row>
    <row r="372" ht="15.75" customHeight="1">
      <c r="A372" s="13"/>
      <c r="B372" s="13" t="s">
        <v>87</v>
      </c>
      <c r="C372" s="11" t="s">
        <v>420</v>
      </c>
      <c r="D372" s="34">
        <v>1.0</v>
      </c>
      <c r="E372" s="35">
        <f>$C$5</f>
        <v>0</v>
      </c>
      <c r="F372" s="34">
        <v>2.0</v>
      </c>
      <c r="G372" s="11" t="s">
        <v>88</v>
      </c>
      <c r="H372" s="19">
        <f t="shared" ref="H372:H376" si="66">D372*E372*F372</f>
        <v>0</v>
      </c>
      <c r="I372" s="13" t="s">
        <v>89</v>
      </c>
      <c r="J372" s="17"/>
    </row>
    <row r="373" ht="15.75" customHeight="1">
      <c r="A373" s="13"/>
      <c r="B373" s="13" t="s">
        <v>90</v>
      </c>
      <c r="C373" s="11" t="s">
        <v>420</v>
      </c>
      <c r="D373" s="34">
        <v>1.0</v>
      </c>
      <c r="E373" s="35">
        <f>$C$6</f>
        <v>0</v>
      </c>
      <c r="F373" s="34">
        <v>2.0</v>
      </c>
      <c r="G373" s="11" t="s">
        <v>88</v>
      </c>
      <c r="H373" s="19">
        <f t="shared" si="66"/>
        <v>0</v>
      </c>
      <c r="I373" s="13" t="s">
        <v>89</v>
      </c>
      <c r="J373" s="17"/>
    </row>
    <row r="374" ht="15.75" customHeight="1">
      <c r="A374" s="13"/>
      <c r="B374" s="13" t="s">
        <v>146</v>
      </c>
      <c r="C374" s="11" t="s">
        <v>420</v>
      </c>
      <c r="D374" s="34">
        <v>1.0</v>
      </c>
      <c r="E374" s="35">
        <f>$C$10</f>
        <v>0</v>
      </c>
      <c r="F374" s="34">
        <v>2.0</v>
      </c>
      <c r="G374" s="11" t="s">
        <v>88</v>
      </c>
      <c r="H374" s="19">
        <f t="shared" si="66"/>
        <v>0</v>
      </c>
      <c r="I374" s="13" t="s">
        <v>89</v>
      </c>
      <c r="J374" s="17"/>
    </row>
    <row r="375" ht="15.75" customHeight="1">
      <c r="A375" s="13"/>
      <c r="B375" s="13" t="s">
        <v>130</v>
      </c>
      <c r="C375" s="11" t="s">
        <v>420</v>
      </c>
      <c r="D375" s="34">
        <v>1.0</v>
      </c>
      <c r="E375" s="35">
        <f>$C$12</f>
        <v>0</v>
      </c>
      <c r="F375" s="34">
        <v>2.0</v>
      </c>
      <c r="G375" s="11" t="s">
        <v>88</v>
      </c>
      <c r="H375" s="19">
        <f t="shared" si="66"/>
        <v>0</v>
      </c>
      <c r="I375" s="13" t="s">
        <v>89</v>
      </c>
      <c r="J375" s="17"/>
    </row>
    <row r="376" ht="15.75" customHeight="1">
      <c r="A376" s="13"/>
      <c r="B376" s="13" t="s">
        <v>135</v>
      </c>
      <c r="C376" s="11" t="s">
        <v>420</v>
      </c>
      <c r="D376" s="34">
        <v>1.0</v>
      </c>
      <c r="E376" s="35">
        <f>$C$13</f>
        <v>0</v>
      </c>
      <c r="F376" s="34">
        <v>2.0</v>
      </c>
      <c r="G376" s="11" t="s">
        <v>88</v>
      </c>
      <c r="H376" s="19">
        <f t="shared" si="66"/>
        <v>0</v>
      </c>
      <c r="I376" s="13" t="s">
        <v>89</v>
      </c>
      <c r="J376" s="17"/>
    </row>
    <row r="377" ht="15.75" customHeight="1">
      <c r="A377" s="36"/>
      <c r="B377" s="36"/>
      <c r="C377" s="36"/>
      <c r="D377" s="37"/>
      <c r="E377" s="37"/>
      <c r="F377" s="37"/>
      <c r="G377" s="38" t="s">
        <v>453</v>
      </c>
      <c r="H377" s="25">
        <f>H332+H335+H338</f>
        <v>0</v>
      </c>
      <c r="I377" s="36"/>
      <c r="J377" s="36"/>
    </row>
    <row r="378" ht="15.75" customHeight="1">
      <c r="A378" s="26" t="s">
        <v>454</v>
      </c>
      <c r="B378" s="10" t="s">
        <v>455</v>
      </c>
      <c r="C378" s="12"/>
      <c r="D378" s="27"/>
      <c r="E378" s="27"/>
      <c r="F378" s="27"/>
      <c r="G378" s="12"/>
      <c r="H378" s="12"/>
      <c r="I378" s="12"/>
      <c r="J378" s="12"/>
    </row>
    <row r="379" ht="15.75" customHeight="1">
      <c r="A379" s="28" t="s">
        <v>456</v>
      </c>
      <c r="B379" s="29" t="s">
        <v>457</v>
      </c>
      <c r="C379" s="30"/>
      <c r="D379" s="31"/>
      <c r="E379" s="31"/>
      <c r="F379" s="31"/>
      <c r="G379" s="30"/>
      <c r="H379" s="32">
        <f>SUM(H380:H382)</f>
        <v>0</v>
      </c>
      <c r="I379" s="30"/>
      <c r="J379" s="33" t="s">
        <v>458</v>
      </c>
    </row>
    <row r="380" ht="15.75" customHeight="1">
      <c r="A380" s="13"/>
      <c r="B380" s="13" t="s">
        <v>87</v>
      </c>
      <c r="C380" s="11" t="s">
        <v>454</v>
      </c>
      <c r="D380" s="34">
        <v>1.0</v>
      </c>
      <c r="E380" s="35">
        <f>$C$5</f>
        <v>0</v>
      </c>
      <c r="F380" s="34">
        <v>2.0</v>
      </c>
      <c r="G380" s="11" t="s">
        <v>88</v>
      </c>
      <c r="H380" s="19">
        <f t="shared" ref="H380:H382" si="67">D380*E380*F380</f>
        <v>0</v>
      </c>
      <c r="I380" s="13" t="s">
        <v>89</v>
      </c>
      <c r="J380" s="17"/>
    </row>
    <row r="381" ht="15.75" customHeight="1">
      <c r="A381" s="13"/>
      <c r="B381" s="13" t="s">
        <v>90</v>
      </c>
      <c r="C381" s="11" t="s">
        <v>454</v>
      </c>
      <c r="D381" s="34">
        <v>1.0</v>
      </c>
      <c r="E381" s="35">
        <f>$C$6</f>
        <v>0</v>
      </c>
      <c r="F381" s="34">
        <v>12.0</v>
      </c>
      <c r="G381" s="11" t="s">
        <v>88</v>
      </c>
      <c r="H381" s="19">
        <f t="shared" si="67"/>
        <v>0</v>
      </c>
      <c r="I381" s="13" t="s">
        <v>89</v>
      </c>
      <c r="J381" s="17"/>
    </row>
    <row r="382" ht="15.75" customHeight="1">
      <c r="A382" s="13"/>
      <c r="B382" s="13" t="s">
        <v>130</v>
      </c>
      <c r="C382" s="11" t="s">
        <v>454</v>
      </c>
      <c r="D382" s="34">
        <v>1.0</v>
      </c>
      <c r="E382" s="35">
        <f>$C$12</f>
        <v>0</v>
      </c>
      <c r="F382" s="34">
        <v>10.0</v>
      </c>
      <c r="G382" s="11" t="s">
        <v>88</v>
      </c>
      <c r="H382" s="19">
        <f t="shared" si="67"/>
        <v>0</v>
      </c>
      <c r="I382" s="13" t="s">
        <v>89</v>
      </c>
      <c r="J382" s="17"/>
    </row>
    <row r="383" ht="15.75" customHeight="1">
      <c r="A383" s="28" t="s">
        <v>459</v>
      </c>
      <c r="B383" s="29" t="s">
        <v>460</v>
      </c>
      <c r="C383" s="30"/>
      <c r="D383" s="31"/>
      <c r="E383" s="31"/>
      <c r="F383" s="31"/>
      <c r="G383" s="30"/>
      <c r="H383" s="32">
        <f>SUM(H384:H385)</f>
        <v>0</v>
      </c>
      <c r="I383" s="30"/>
      <c r="J383" s="33" t="s">
        <v>461</v>
      </c>
    </row>
    <row r="384" ht="15.75" customHeight="1">
      <c r="A384" s="13"/>
      <c r="B384" s="13" t="s">
        <v>146</v>
      </c>
      <c r="C384" s="11" t="s">
        <v>454</v>
      </c>
      <c r="D384" s="34">
        <v>1.0</v>
      </c>
      <c r="E384" s="35">
        <f>$C$10</f>
        <v>0</v>
      </c>
      <c r="F384" s="34">
        <v>10.0</v>
      </c>
      <c r="G384" s="11" t="s">
        <v>88</v>
      </c>
      <c r="H384" s="19">
        <f t="shared" ref="H384:H385" si="68">D384*E384*F384</f>
        <v>0</v>
      </c>
      <c r="I384" s="13" t="s">
        <v>89</v>
      </c>
      <c r="J384" s="17"/>
    </row>
    <row r="385" ht="15.75" customHeight="1">
      <c r="A385" s="13"/>
      <c r="B385" s="13" t="s">
        <v>104</v>
      </c>
      <c r="C385" s="11" t="s">
        <v>454</v>
      </c>
      <c r="D385" s="34">
        <v>1.0</v>
      </c>
      <c r="E385" s="35">
        <f>$C$11</f>
        <v>0</v>
      </c>
      <c r="F385" s="34">
        <v>16.0</v>
      </c>
      <c r="G385" s="11" t="s">
        <v>88</v>
      </c>
      <c r="H385" s="19">
        <f t="shared" si="68"/>
        <v>0</v>
      </c>
      <c r="I385" s="13" t="s">
        <v>89</v>
      </c>
      <c r="J385" s="17"/>
    </row>
    <row r="386" ht="15.75" customHeight="1">
      <c r="A386" s="28" t="s">
        <v>462</v>
      </c>
      <c r="B386" s="29" t="s">
        <v>463</v>
      </c>
      <c r="C386" s="30"/>
      <c r="D386" s="31"/>
      <c r="E386" s="31"/>
      <c r="F386" s="31"/>
      <c r="G386" s="30"/>
      <c r="H386" s="32">
        <f>SUM(H387:H389)</f>
        <v>0</v>
      </c>
      <c r="I386" s="30"/>
      <c r="J386" s="33" t="s">
        <v>464</v>
      </c>
    </row>
    <row r="387" ht="15.75" customHeight="1">
      <c r="A387" s="13"/>
      <c r="B387" s="13" t="s">
        <v>90</v>
      </c>
      <c r="C387" s="11" t="s">
        <v>454</v>
      </c>
      <c r="D387" s="34">
        <v>1.0</v>
      </c>
      <c r="E387" s="35">
        <f>$C$6</f>
        <v>0</v>
      </c>
      <c r="F387" s="34">
        <v>10.0</v>
      </c>
      <c r="G387" s="11" t="s">
        <v>88</v>
      </c>
      <c r="H387" s="19">
        <f t="shared" ref="H387:H389" si="69">D387*E387*F387</f>
        <v>0</v>
      </c>
      <c r="I387" s="13" t="s">
        <v>89</v>
      </c>
      <c r="J387" s="17"/>
    </row>
    <row r="388" ht="15.75" customHeight="1">
      <c r="A388" s="13"/>
      <c r="B388" s="13" t="s">
        <v>135</v>
      </c>
      <c r="C388" s="11" t="s">
        <v>454</v>
      </c>
      <c r="D388" s="34">
        <v>1.0</v>
      </c>
      <c r="E388" s="35">
        <f>$C$13</f>
        <v>0</v>
      </c>
      <c r="F388" s="34">
        <v>16.0</v>
      </c>
      <c r="G388" s="11" t="s">
        <v>88</v>
      </c>
      <c r="H388" s="19">
        <f t="shared" si="69"/>
        <v>0</v>
      </c>
      <c r="I388" s="13" t="s">
        <v>89</v>
      </c>
      <c r="J388" s="17"/>
    </row>
    <row r="389" ht="15.75" customHeight="1">
      <c r="A389" s="13"/>
      <c r="B389" s="13" t="s">
        <v>221</v>
      </c>
      <c r="C389" s="11" t="s">
        <v>454</v>
      </c>
      <c r="D389" s="34">
        <v>30.0</v>
      </c>
      <c r="E389" s="35">
        <f>$C$16</f>
        <v>0</v>
      </c>
      <c r="F389" s="34">
        <v>2.0</v>
      </c>
      <c r="G389" s="11" t="s">
        <v>88</v>
      </c>
      <c r="H389" s="19">
        <f t="shared" si="69"/>
        <v>0</v>
      </c>
      <c r="I389" s="13" t="s">
        <v>89</v>
      </c>
      <c r="J389" s="17"/>
    </row>
    <row r="390" ht="15.75" customHeight="1">
      <c r="A390" s="28" t="s">
        <v>465</v>
      </c>
      <c r="B390" s="29" t="s">
        <v>466</v>
      </c>
      <c r="C390" s="30"/>
      <c r="D390" s="31"/>
      <c r="E390" s="31"/>
      <c r="F390" s="31"/>
      <c r="G390" s="30"/>
      <c r="H390" s="32">
        <f>SUM(H391:H393)</f>
        <v>0</v>
      </c>
      <c r="I390" s="30"/>
      <c r="J390" s="33" t="s">
        <v>467</v>
      </c>
    </row>
    <row r="391" ht="15.75" customHeight="1">
      <c r="A391" s="13"/>
      <c r="B391" s="13" t="s">
        <v>87</v>
      </c>
      <c r="C391" s="11" t="s">
        <v>454</v>
      </c>
      <c r="D391" s="34">
        <v>1.0</v>
      </c>
      <c r="E391" s="35">
        <f>$C$5</f>
        <v>0</v>
      </c>
      <c r="F391" s="34">
        <v>2.0</v>
      </c>
      <c r="G391" s="11" t="s">
        <v>88</v>
      </c>
      <c r="H391" s="19">
        <f t="shared" ref="H391:H393" si="70">D391*E391*F391</f>
        <v>0</v>
      </c>
      <c r="I391" s="13" t="s">
        <v>89</v>
      </c>
      <c r="J391" s="17"/>
    </row>
    <row r="392" ht="15.75" customHeight="1">
      <c r="A392" s="13"/>
      <c r="B392" s="13" t="s">
        <v>90</v>
      </c>
      <c r="C392" s="11" t="s">
        <v>454</v>
      </c>
      <c r="D392" s="34">
        <v>1.0</v>
      </c>
      <c r="E392" s="35">
        <f>$C$6</f>
        <v>0</v>
      </c>
      <c r="F392" s="34">
        <v>2.0</v>
      </c>
      <c r="G392" s="11" t="s">
        <v>88</v>
      </c>
      <c r="H392" s="19">
        <f t="shared" si="70"/>
        <v>0</v>
      </c>
      <c r="I392" s="13" t="s">
        <v>89</v>
      </c>
      <c r="J392" s="17"/>
    </row>
    <row r="393" ht="15.75" customHeight="1">
      <c r="A393" s="13"/>
      <c r="B393" s="13" t="s">
        <v>130</v>
      </c>
      <c r="C393" s="11" t="s">
        <v>454</v>
      </c>
      <c r="D393" s="34">
        <v>1.0</v>
      </c>
      <c r="E393" s="35">
        <f>$C$12</f>
        <v>0</v>
      </c>
      <c r="F393" s="34">
        <v>14.0</v>
      </c>
      <c r="G393" s="11" t="s">
        <v>88</v>
      </c>
      <c r="H393" s="19">
        <f t="shared" si="70"/>
        <v>0</v>
      </c>
      <c r="I393" s="13" t="s">
        <v>89</v>
      </c>
      <c r="J393" s="17"/>
    </row>
    <row r="394" ht="15.75" customHeight="1">
      <c r="A394" s="28" t="s">
        <v>468</v>
      </c>
      <c r="B394" s="29" t="s">
        <v>469</v>
      </c>
      <c r="C394" s="30"/>
      <c r="D394" s="31"/>
      <c r="E394" s="31"/>
      <c r="F394" s="31"/>
      <c r="G394" s="30"/>
      <c r="H394" s="32">
        <f>SUM(H395:H396)</f>
        <v>0</v>
      </c>
      <c r="I394" s="30"/>
      <c r="J394" s="33" t="s">
        <v>470</v>
      </c>
    </row>
    <row r="395" ht="15.75" customHeight="1">
      <c r="A395" s="13"/>
      <c r="B395" s="13" t="s">
        <v>90</v>
      </c>
      <c r="C395" s="11" t="s">
        <v>454</v>
      </c>
      <c r="D395" s="34">
        <v>1.0</v>
      </c>
      <c r="E395" s="35">
        <f>$C$6</f>
        <v>0</v>
      </c>
      <c r="F395" s="34">
        <v>8.0</v>
      </c>
      <c r="G395" s="11" t="s">
        <v>88</v>
      </c>
      <c r="H395" s="19">
        <f t="shared" ref="H395:H396" si="71">D395*E395*F395</f>
        <v>0</v>
      </c>
      <c r="I395" s="13" t="s">
        <v>89</v>
      </c>
      <c r="J395" s="17"/>
    </row>
    <row r="396" ht="15.75" customHeight="1">
      <c r="A396" s="13"/>
      <c r="B396" s="13" t="s">
        <v>199</v>
      </c>
      <c r="C396" s="11" t="s">
        <v>454</v>
      </c>
      <c r="D396" s="34">
        <v>1.0</v>
      </c>
      <c r="E396" s="35">
        <f>$C$14</f>
        <v>0</v>
      </c>
      <c r="F396" s="34">
        <v>8.0</v>
      </c>
      <c r="G396" s="11" t="s">
        <v>88</v>
      </c>
      <c r="H396" s="19">
        <f t="shared" si="71"/>
        <v>0</v>
      </c>
      <c r="I396" s="13" t="s">
        <v>89</v>
      </c>
      <c r="J396" s="17"/>
    </row>
    <row r="397" ht="15.75" customHeight="1">
      <c r="A397" s="28" t="s">
        <v>471</v>
      </c>
      <c r="B397" s="29" t="s">
        <v>472</v>
      </c>
      <c r="C397" s="30"/>
      <c r="D397" s="31"/>
      <c r="E397" s="31"/>
      <c r="F397" s="31"/>
      <c r="G397" s="30"/>
      <c r="H397" s="32">
        <f>SUM(H398:H399)</f>
        <v>0</v>
      </c>
      <c r="I397" s="30"/>
      <c r="J397" s="33" t="s">
        <v>473</v>
      </c>
    </row>
    <row r="398" ht="15.75" customHeight="1">
      <c r="A398" s="13"/>
      <c r="B398" s="13" t="s">
        <v>90</v>
      </c>
      <c r="C398" s="11" t="s">
        <v>454</v>
      </c>
      <c r="D398" s="34">
        <v>1.0</v>
      </c>
      <c r="E398" s="35">
        <f>$C$6</f>
        <v>0</v>
      </c>
      <c r="F398" s="34">
        <v>8.0</v>
      </c>
      <c r="G398" s="11" t="s">
        <v>88</v>
      </c>
      <c r="H398" s="19">
        <f t="shared" ref="H398:H399" si="72">D398*E398*F398</f>
        <v>0</v>
      </c>
      <c r="I398" s="13" t="s">
        <v>89</v>
      </c>
      <c r="J398" s="17"/>
    </row>
    <row r="399" ht="15.75" customHeight="1">
      <c r="A399" s="13"/>
      <c r="B399" s="13" t="s">
        <v>97</v>
      </c>
      <c r="C399" s="11" t="s">
        <v>454</v>
      </c>
      <c r="D399" s="34">
        <v>5.0</v>
      </c>
      <c r="E399" s="35">
        <f>$C$7</f>
        <v>0</v>
      </c>
      <c r="F399" s="34">
        <v>8.0</v>
      </c>
      <c r="G399" s="11" t="s">
        <v>88</v>
      </c>
      <c r="H399" s="19">
        <f t="shared" si="72"/>
        <v>0</v>
      </c>
      <c r="I399" s="13" t="s">
        <v>89</v>
      </c>
      <c r="J399" s="17"/>
    </row>
    <row r="400" ht="15.75" customHeight="1">
      <c r="A400" s="36"/>
      <c r="B400" s="36"/>
      <c r="C400" s="36"/>
      <c r="D400" s="37"/>
      <c r="E400" s="37"/>
      <c r="F400" s="37"/>
      <c r="G400" s="38" t="s">
        <v>474</v>
      </c>
      <c r="H400" s="25">
        <f>H379+H383+H386+H390+H394+H397</f>
        <v>0</v>
      </c>
      <c r="I400" s="36"/>
      <c r="J400" s="36"/>
    </row>
    <row r="401" ht="15.75" customHeight="1">
      <c r="A401" s="12"/>
      <c r="B401" s="10" t="s">
        <v>475</v>
      </c>
      <c r="C401" s="12"/>
      <c r="D401" s="27"/>
      <c r="E401" s="27"/>
      <c r="F401" s="27"/>
      <c r="G401" s="12"/>
      <c r="H401" s="39">
        <f>H39+H73+H330+H377+H400</f>
        <v>14520</v>
      </c>
      <c r="I401" s="12"/>
      <c r="J401" s="12"/>
    </row>
    <row r="402" ht="15.75" customHeight="1">
      <c r="D402" s="2"/>
      <c r="E402" s="2"/>
      <c r="F402" s="2"/>
    </row>
    <row r="403" ht="15.75" customHeight="1">
      <c r="A403" s="43" t="s">
        <v>476</v>
      </c>
      <c r="B403" s="44" t="s">
        <v>477</v>
      </c>
      <c r="C403" s="45"/>
      <c r="D403" s="46"/>
      <c r="E403" s="46"/>
      <c r="F403" s="46"/>
      <c r="G403" s="45"/>
      <c r="H403" s="45"/>
      <c r="I403" s="45"/>
      <c r="J403" s="45"/>
    </row>
    <row r="404" ht="15.75" customHeight="1">
      <c r="A404" s="11" t="s">
        <v>478</v>
      </c>
      <c r="B404" s="13" t="s">
        <v>479</v>
      </c>
      <c r="C404" s="11" t="s">
        <v>480</v>
      </c>
      <c r="D404" s="34">
        <v>2.0</v>
      </c>
      <c r="E404" s="40">
        <v>120.0</v>
      </c>
      <c r="F404" s="34">
        <v>1.0</v>
      </c>
      <c r="G404" s="11" t="s">
        <v>481</v>
      </c>
      <c r="H404" s="19">
        <f t="shared" ref="H404:H408" si="73">D404*E404*F404</f>
        <v>240</v>
      </c>
      <c r="I404" s="13" t="s">
        <v>482</v>
      </c>
      <c r="J404" s="17" t="s">
        <v>483</v>
      </c>
    </row>
    <row r="405" ht="15.75" customHeight="1">
      <c r="A405" s="11" t="s">
        <v>484</v>
      </c>
      <c r="B405" s="13" t="s">
        <v>485</v>
      </c>
      <c r="C405" s="11" t="s">
        <v>486</v>
      </c>
      <c r="D405" s="34">
        <v>1.0</v>
      </c>
      <c r="E405" s="47">
        <v>200.0</v>
      </c>
      <c r="F405" s="34">
        <v>1.0</v>
      </c>
      <c r="G405" s="11" t="s">
        <v>274</v>
      </c>
      <c r="H405" s="19">
        <f t="shared" si="73"/>
        <v>200</v>
      </c>
      <c r="I405" s="13" t="s">
        <v>482</v>
      </c>
      <c r="J405" s="17" t="s">
        <v>487</v>
      </c>
    </row>
    <row r="406" ht="15.75" customHeight="1">
      <c r="A406" s="11" t="s">
        <v>488</v>
      </c>
      <c r="B406" s="13" t="s">
        <v>489</v>
      </c>
      <c r="C406" s="11" t="s">
        <v>490</v>
      </c>
      <c r="D406" s="34">
        <v>1.0</v>
      </c>
      <c r="E406" s="40">
        <v>150.0</v>
      </c>
      <c r="F406" s="34">
        <v>1.0</v>
      </c>
      <c r="G406" s="11" t="s">
        <v>274</v>
      </c>
      <c r="H406" s="19">
        <f t="shared" si="73"/>
        <v>150</v>
      </c>
      <c r="I406" s="13" t="s">
        <v>482</v>
      </c>
      <c r="J406" s="17" t="s">
        <v>491</v>
      </c>
    </row>
    <row r="407" ht="15.75" customHeight="1">
      <c r="A407" s="11" t="s">
        <v>492</v>
      </c>
      <c r="B407" s="13" t="s">
        <v>493</v>
      </c>
      <c r="C407" s="11" t="s">
        <v>486</v>
      </c>
      <c r="D407" s="34">
        <v>20.0</v>
      </c>
      <c r="E407" s="35">
        <f t="shared" ref="E407:E408" si="74">E295</f>
        <v>8</v>
      </c>
      <c r="F407" s="34">
        <v>3.0</v>
      </c>
      <c r="G407" s="11" t="s">
        <v>387</v>
      </c>
      <c r="H407" s="19">
        <f t="shared" si="73"/>
        <v>480</v>
      </c>
      <c r="I407" s="13" t="s">
        <v>482</v>
      </c>
      <c r="J407" s="17" t="s">
        <v>494</v>
      </c>
    </row>
    <row r="408" ht="15.75" customHeight="1">
      <c r="A408" s="11" t="s">
        <v>492</v>
      </c>
      <c r="B408" s="41" t="s">
        <v>495</v>
      </c>
      <c r="C408" s="11" t="s">
        <v>486</v>
      </c>
      <c r="D408" s="48">
        <v>30.0</v>
      </c>
      <c r="E408" s="35">
        <f t="shared" si="74"/>
        <v>3</v>
      </c>
      <c r="F408" s="34">
        <v>1.0</v>
      </c>
      <c r="G408" s="11" t="s">
        <v>274</v>
      </c>
      <c r="H408" s="19">
        <f t="shared" si="73"/>
        <v>90</v>
      </c>
      <c r="I408" s="13" t="s">
        <v>482</v>
      </c>
      <c r="J408" s="17" t="s">
        <v>496</v>
      </c>
    </row>
    <row r="409" ht="15.75" customHeight="1">
      <c r="A409" s="36"/>
      <c r="B409" s="36"/>
      <c r="C409" s="36"/>
      <c r="D409" s="37"/>
      <c r="E409" s="37"/>
      <c r="F409" s="37"/>
      <c r="G409" s="38" t="s">
        <v>497</v>
      </c>
      <c r="H409" s="25">
        <f>SUM(H404:H408)</f>
        <v>1160</v>
      </c>
      <c r="I409" s="36"/>
      <c r="J409" s="49" t="s">
        <v>498</v>
      </c>
    </row>
    <row r="410" ht="15.75" customHeight="1">
      <c r="D410" s="2"/>
      <c r="E410" s="2"/>
      <c r="F410" s="2"/>
    </row>
    <row r="411" ht="15.75" customHeight="1">
      <c r="B411" s="7" t="s">
        <v>499</v>
      </c>
      <c r="C411" s="50"/>
      <c r="D411" s="51"/>
      <c r="E411" s="51"/>
      <c r="F411" s="51"/>
      <c r="G411" s="50"/>
      <c r="H411" s="5" t="s">
        <v>500</v>
      </c>
      <c r="I411" s="50"/>
      <c r="J411" s="50"/>
    </row>
    <row r="412" ht="15.75" customHeight="1">
      <c r="A412" s="11" t="s">
        <v>79</v>
      </c>
      <c r="B412" s="13" t="s">
        <v>501</v>
      </c>
      <c r="C412" s="13"/>
      <c r="D412" s="35"/>
      <c r="E412" s="35"/>
      <c r="F412" s="35"/>
      <c r="G412" s="13"/>
      <c r="H412" s="19">
        <f>SUMIF($C$24:$C$400,"1",$H$24:$H$400)</f>
        <v>0</v>
      </c>
      <c r="I412" s="13"/>
      <c r="J412" s="13"/>
    </row>
    <row r="413" ht="15.75" customHeight="1">
      <c r="A413" s="11" t="s">
        <v>114</v>
      </c>
      <c r="B413" s="13" t="s">
        <v>502</v>
      </c>
      <c r="C413" s="13"/>
      <c r="D413" s="35"/>
      <c r="E413" s="35"/>
      <c r="F413" s="35"/>
      <c r="G413" s="13"/>
      <c r="H413" s="19">
        <f>SUMIF($C$24:$C$400,"2",$H$24:$H$400)</f>
        <v>0</v>
      </c>
      <c r="I413" s="13"/>
      <c r="J413" s="13"/>
    </row>
    <row r="414" ht="15.75" customHeight="1">
      <c r="A414" s="11" t="s">
        <v>171</v>
      </c>
      <c r="B414" s="13" t="s">
        <v>503</v>
      </c>
      <c r="C414" s="13"/>
      <c r="D414" s="35"/>
      <c r="E414" s="35"/>
      <c r="F414" s="35"/>
      <c r="G414" s="13"/>
      <c r="H414" s="19">
        <f>SUMIF($C$24:$C$400,"3.1",$H$24:$H$400)</f>
        <v>1490</v>
      </c>
      <c r="I414" s="13"/>
      <c r="J414" s="13"/>
    </row>
    <row r="415" ht="15.75" customHeight="1">
      <c r="A415" s="11" t="s">
        <v>193</v>
      </c>
      <c r="B415" s="13" t="s">
        <v>504</v>
      </c>
      <c r="C415" s="13"/>
      <c r="D415" s="35"/>
      <c r="E415" s="35"/>
      <c r="F415" s="35"/>
      <c r="G415" s="13"/>
      <c r="H415" s="19">
        <f>SUMIF($C$24:$C$400,"3.2",$H$24:$H$400)</f>
        <v>1050</v>
      </c>
      <c r="I415" s="13"/>
      <c r="J415" s="13"/>
    </row>
    <row r="416" ht="15.75" customHeight="1">
      <c r="A416" s="11" t="s">
        <v>216</v>
      </c>
      <c r="B416" s="13" t="s">
        <v>505</v>
      </c>
      <c r="C416" s="13"/>
      <c r="D416" s="35"/>
      <c r="E416" s="35"/>
      <c r="F416" s="35"/>
      <c r="G416" s="13"/>
      <c r="H416" s="19">
        <f>SUMIF($C$24:$C$400,"3.3",$H$24:$H$400)</f>
        <v>560</v>
      </c>
      <c r="I416" s="13"/>
      <c r="J416" s="13"/>
    </row>
    <row r="417" ht="15.75" customHeight="1">
      <c r="A417" s="11" t="s">
        <v>243</v>
      </c>
      <c r="B417" s="13" t="s">
        <v>506</v>
      </c>
      <c r="C417" s="13"/>
      <c r="D417" s="35"/>
      <c r="E417" s="35"/>
      <c r="F417" s="35"/>
      <c r="G417" s="13"/>
      <c r="H417" s="19">
        <f>SUMIF($C$24:$C$400,"3.4",$H$24:$H$400)</f>
        <v>560</v>
      </c>
      <c r="I417" s="13"/>
      <c r="J417" s="13"/>
    </row>
    <row r="418" ht="15.75" customHeight="1">
      <c r="A418" s="11" t="s">
        <v>264</v>
      </c>
      <c r="B418" s="13" t="s">
        <v>507</v>
      </c>
      <c r="C418" s="13"/>
      <c r="D418" s="35"/>
      <c r="E418" s="35"/>
      <c r="F418" s="35"/>
      <c r="G418" s="13"/>
      <c r="H418" s="19">
        <f>SUMIF($C$24:$C$400,"3.5",$H$24:$H$400)</f>
        <v>980</v>
      </c>
      <c r="I418" s="13"/>
      <c r="J418" s="13"/>
    </row>
    <row r="419" ht="15.75" customHeight="1">
      <c r="A419" s="11" t="s">
        <v>290</v>
      </c>
      <c r="B419" s="13" t="s">
        <v>508</v>
      </c>
      <c r="C419" s="13"/>
      <c r="D419" s="35"/>
      <c r="E419" s="35"/>
      <c r="F419" s="35"/>
      <c r="G419" s="13"/>
      <c r="H419" s="19">
        <f>SUMIF($C$24:$C$400,"3.6",$H$24:$H$400)</f>
        <v>500</v>
      </c>
      <c r="I419" s="13"/>
      <c r="J419" s="13"/>
    </row>
    <row r="420" ht="15.75" customHeight="1">
      <c r="A420" s="11" t="s">
        <v>318</v>
      </c>
      <c r="B420" s="13" t="s">
        <v>509</v>
      </c>
      <c r="C420" s="13"/>
      <c r="D420" s="35"/>
      <c r="E420" s="35"/>
      <c r="F420" s="35"/>
      <c r="G420" s="13"/>
      <c r="H420" s="19">
        <f>SUMIF($C$24:$C$400,"3.7",$H$24:$H$400)</f>
        <v>500</v>
      </c>
      <c r="I420" s="13"/>
      <c r="J420" s="13"/>
    </row>
    <row r="421" ht="15.75" customHeight="1">
      <c r="A421" s="11" t="s">
        <v>347</v>
      </c>
      <c r="B421" s="13" t="s">
        <v>510</v>
      </c>
      <c r="C421" s="13"/>
      <c r="D421" s="35"/>
      <c r="E421" s="35"/>
      <c r="F421" s="35"/>
      <c r="G421" s="13"/>
      <c r="H421" s="19">
        <f>SUMIF($C$24:$C$400,"3.8",$H$24:$H$400)</f>
        <v>2290</v>
      </c>
      <c r="I421" s="13"/>
      <c r="J421" s="13"/>
    </row>
    <row r="422" ht="15.75" customHeight="1">
      <c r="A422" s="11" t="s">
        <v>378</v>
      </c>
      <c r="B422" s="13" t="s">
        <v>511</v>
      </c>
      <c r="C422" s="13"/>
      <c r="D422" s="35"/>
      <c r="E422" s="35"/>
      <c r="F422" s="35"/>
      <c r="G422" s="13"/>
      <c r="H422" s="19">
        <f>SUMIF($C$24:$C$400,"3.9",$H$24:$H$400)</f>
        <v>6590</v>
      </c>
      <c r="I422" s="13"/>
      <c r="J422" s="13"/>
    </row>
    <row r="423" ht="15.75" customHeight="1">
      <c r="A423" s="11" t="s">
        <v>420</v>
      </c>
      <c r="B423" s="13" t="s">
        <v>512</v>
      </c>
      <c r="C423" s="13"/>
      <c r="D423" s="35"/>
      <c r="E423" s="35"/>
      <c r="F423" s="35"/>
      <c r="G423" s="13"/>
      <c r="H423" s="19">
        <f>SUMIF($C$24:$C$400,"4",$H$24:$H$400)</f>
        <v>0</v>
      </c>
      <c r="I423" s="13"/>
      <c r="J423" s="13"/>
    </row>
    <row r="424" ht="15.75" customHeight="1">
      <c r="A424" s="11" t="s">
        <v>454</v>
      </c>
      <c r="B424" s="13" t="s">
        <v>513</v>
      </c>
      <c r="C424" s="13"/>
      <c r="D424" s="35"/>
      <c r="E424" s="35"/>
      <c r="F424" s="35"/>
      <c r="G424" s="13"/>
      <c r="H424" s="19">
        <f>SUMIF($C$24:$C$400,"5",$H$24:$H$400)</f>
        <v>0</v>
      </c>
      <c r="I424" s="13"/>
      <c r="J424" s="13"/>
    </row>
    <row r="425" ht="15.75" customHeight="1">
      <c r="D425" s="2"/>
      <c r="E425" s="2"/>
      <c r="F425" s="2"/>
      <c r="G425" s="38" t="s">
        <v>17</v>
      </c>
      <c r="H425" s="25">
        <f>SUM(H412:H424)</f>
        <v>14520</v>
      </c>
    </row>
    <row r="426" ht="15.75" customHeight="1">
      <c r="D426" s="2"/>
      <c r="E426" s="2"/>
      <c r="F426" s="2"/>
      <c r="G426" s="52" t="s">
        <v>514</v>
      </c>
      <c r="H426" s="20">
        <f>H425-H401</f>
        <v>0</v>
      </c>
    </row>
    <row r="427" ht="15.75" customHeight="1">
      <c r="D427" s="2"/>
      <c r="E427" s="2"/>
      <c r="F427" s="2"/>
    </row>
    <row r="428" ht="15.75" customHeight="1">
      <c r="B428" s="7" t="s">
        <v>515</v>
      </c>
      <c r="C428" s="50"/>
      <c r="D428" s="51"/>
      <c r="E428" s="24" t="s">
        <v>516</v>
      </c>
      <c r="F428" s="51"/>
      <c r="G428" s="50"/>
      <c r="H428" s="5" t="s">
        <v>517</v>
      </c>
      <c r="I428" s="50"/>
      <c r="J428" s="50"/>
    </row>
    <row r="429" ht="15.75" customHeight="1">
      <c r="A429" s="11" t="s">
        <v>23</v>
      </c>
      <c r="B429" s="13" t="s">
        <v>24</v>
      </c>
      <c r="C429" s="13"/>
      <c r="D429" s="35"/>
      <c r="E429" s="53">
        <f>SUMPRODUCT(($B$24:$B$400="    Patrocinador (L. Flores)")*$D$24:$D$400*$F$24:$F$400)</f>
        <v>38</v>
      </c>
      <c r="F429" s="35"/>
      <c r="G429" s="13"/>
      <c r="H429" s="19">
        <f>SUMIF($B$24:$B$400,"    Patrocinador (L. Flores)",$H$24:$H$400)</f>
        <v>0</v>
      </c>
      <c r="I429" s="13"/>
      <c r="J429" s="13"/>
    </row>
    <row r="430" ht="15.75" customHeight="1">
      <c r="A430" s="11" t="s">
        <v>29</v>
      </c>
      <c r="B430" s="13" t="s">
        <v>30</v>
      </c>
      <c r="C430" s="13"/>
      <c r="D430" s="35"/>
      <c r="E430" s="53">
        <f>SUMPRODUCT(($B$24:$B$400="    Gerente de Proyecto (L. Alvites)")*$D$24:$D$400*$F$24:$F$400)</f>
        <v>423</v>
      </c>
      <c r="F430" s="35"/>
      <c r="G430" s="13"/>
      <c r="H430" s="19">
        <f>SUMIF($B$24:$B$400,"    Gerente de Proyecto (L. Alvites)",$H$24:$H$400)</f>
        <v>0</v>
      </c>
      <c r="I430" s="13"/>
      <c r="J430" s="13"/>
    </row>
    <row r="431" ht="15.75" customHeight="1">
      <c r="A431" s="11" t="s">
        <v>31</v>
      </c>
      <c r="B431" s="13" t="s">
        <v>32</v>
      </c>
      <c r="C431" s="13"/>
      <c r="D431" s="35"/>
      <c r="E431" s="53">
        <f>SUMPRODUCT(($B$24:$B$400="    Equipo 5 (Planificación)")*$D$24:$D$400*$F$24:$F$400)</f>
        <v>480</v>
      </c>
      <c r="F431" s="35"/>
      <c r="G431" s="13"/>
      <c r="H431" s="19">
        <f>SUMIF($B$24:$B$400,"    Equipo 5 (Planificación)",$H$24:$H$400)</f>
        <v>0</v>
      </c>
      <c r="I431" s="13"/>
      <c r="J431" s="13"/>
    </row>
    <row r="432" ht="15.75" customHeight="1">
      <c r="A432" s="11" t="s">
        <v>33</v>
      </c>
      <c r="B432" s="13" t="s">
        <v>34</v>
      </c>
      <c r="C432" s="13"/>
      <c r="D432" s="35"/>
      <c r="E432" s="53">
        <f>SUMPRODUCT(($B$24:$B$400="    Directores de área (reuniones conjuntas)")*$D$24:$D$400*$F$24:$F$400)</f>
        <v>574</v>
      </c>
      <c r="F432" s="35"/>
      <c r="G432" s="13"/>
      <c r="H432" s="19">
        <f>SUMIF($B$24:$B$400,"    Directores de área (reuniones conjuntas)",$H$24:$H$400)</f>
        <v>0</v>
      </c>
      <c r="I432" s="13"/>
      <c r="J432" s="13"/>
    </row>
    <row r="433" ht="15.75" customHeight="1">
      <c r="A433" s="11" t="s">
        <v>35</v>
      </c>
      <c r="B433" s="13" t="s">
        <v>36</v>
      </c>
      <c r="C433" s="13"/>
      <c r="D433" s="35"/>
      <c r="E433" s="53">
        <f>SUMPRODUCT(($B$24:$B$400="    Logística y Eventos (F. Caceres)")*$D$24:$D$400*$F$24:$F$400)</f>
        <v>369.3</v>
      </c>
      <c r="F433" s="35"/>
      <c r="G433" s="13"/>
      <c r="H433" s="19">
        <f>SUMIF($B$24:$B$400,"    Logística y Eventos (F. Caceres)",$H$24:$H$400)</f>
        <v>0</v>
      </c>
      <c r="I433" s="13"/>
      <c r="J433" s="13"/>
    </row>
    <row r="434" ht="15.75" customHeight="1">
      <c r="A434" s="11" t="s">
        <v>37</v>
      </c>
      <c r="B434" s="13" t="s">
        <v>38</v>
      </c>
      <c r="C434" s="13"/>
      <c r="D434" s="35"/>
      <c r="E434" s="53">
        <f>SUMPRODUCT(($B$24:$B$400="    Marketing y Comunidad (A. Quispe)")*$D$24:$D$400*$F$24:$F$400)</f>
        <v>346</v>
      </c>
      <c r="F434" s="35"/>
      <c r="G434" s="13"/>
      <c r="H434" s="19">
        <f>SUMIF($B$24:$B$400,"    Marketing y Comunidad (A. Quispe)",$H$24:$H$400)</f>
        <v>0</v>
      </c>
      <c r="I434" s="13"/>
      <c r="J434" s="13"/>
    </row>
    <row r="435" ht="15.75" customHeight="1">
      <c r="A435" s="11" t="s">
        <v>39</v>
      </c>
      <c r="B435" s="13" t="s">
        <v>40</v>
      </c>
      <c r="C435" s="13"/>
      <c r="D435" s="35"/>
      <c r="E435" s="53">
        <f>SUMPRODUCT(($B$24:$B$400="    Relaciones Exteriores (S. Cruz)")*$D$24:$D$400*$F$24:$F$400)</f>
        <v>429</v>
      </c>
      <c r="F435" s="35"/>
      <c r="G435" s="13"/>
      <c r="H435" s="19">
        <f>SUMIF($B$24:$B$400,"    Relaciones Exteriores (S. Cruz)",$H$24:$H$400)</f>
        <v>0</v>
      </c>
      <c r="I435" s="13"/>
      <c r="J435" s="13"/>
    </row>
    <row r="436" ht="15.75" customHeight="1">
      <c r="A436" s="11" t="s">
        <v>41</v>
      </c>
      <c r="B436" s="13" t="s">
        <v>43</v>
      </c>
      <c r="C436" s="13"/>
      <c r="D436" s="35"/>
      <c r="E436" s="53">
        <f>SUMPRODUCT(($B$24:$B$400="    Finanzas y Legalidad (E. Chachayma)")*$D$24:$D$400*$F$24:$F$400)</f>
        <v>233</v>
      </c>
      <c r="F436" s="35"/>
      <c r="G436" s="13"/>
      <c r="H436" s="19">
        <f>SUMIF($B$24:$B$400,"    Finanzas y Legalidad (E. Chachayma)",$H$24:$H$400)</f>
        <v>0</v>
      </c>
      <c r="I436" s="13"/>
      <c r="J436" s="13"/>
    </row>
    <row r="437" ht="15.75" customHeight="1">
      <c r="A437" s="11" t="s">
        <v>46</v>
      </c>
      <c r="B437" s="13" t="s">
        <v>47</v>
      </c>
      <c r="C437" s="13"/>
      <c r="D437" s="35"/>
      <c r="E437" s="53">
        <f>SUMPRODUCT(($B$24:$B$400="    RR.HH. (M. Colala)")*$D$24:$D$400*$F$24:$F$400)</f>
        <v>238</v>
      </c>
      <c r="F437" s="35"/>
      <c r="G437" s="13"/>
      <c r="H437" s="19">
        <f>SUMIF($B$24:$B$400,"    RR.HH. (M. Colala)",$H$24:$H$400)</f>
        <v>0</v>
      </c>
      <c r="I437" s="13"/>
      <c r="J437" s="13"/>
    </row>
    <row r="438" ht="15.75" customHeight="1">
      <c r="A438" s="11" t="s">
        <v>48</v>
      </c>
      <c r="B438" s="13" t="s">
        <v>49</v>
      </c>
      <c r="C438" s="13"/>
      <c r="D438" s="35"/>
      <c r="E438" s="53">
        <f>SUMPRODUCT(($B$24:$B$400="    Desarrollo de Software (R. Chang)")*$D$24:$D$400*$F$24:$F$400)</f>
        <v>96</v>
      </c>
      <c r="F438" s="35"/>
      <c r="G438" s="13"/>
      <c r="H438" s="19">
        <f>SUMIF($B$24:$B$400,"    Desarrollo de Software (R. Chang)",$H$24:$H$400)</f>
        <v>0</v>
      </c>
      <c r="I438" s="13"/>
      <c r="J438" s="13"/>
    </row>
    <row r="439" ht="15.75" customHeight="1">
      <c r="A439" s="11" t="s">
        <v>53</v>
      </c>
      <c r="B439" s="13" t="s">
        <v>54</v>
      </c>
      <c r="C439" s="13"/>
      <c r="D439" s="35"/>
      <c r="E439" s="53">
        <f>SUMPRODUCT(($B$24:$B$400="    Infraestructura y Ciberseguridad (R. Sanchez)")*$D$24:$D$400*$F$24:$F$400)</f>
        <v>64</v>
      </c>
      <c r="F439" s="35"/>
      <c r="G439" s="13"/>
      <c r="H439" s="19">
        <f>SUMIF($B$24:$B$400,"    Infraestructura y Ciberseguridad (R. Sanchez)",$H$24:$H$400)</f>
        <v>0</v>
      </c>
      <c r="I439" s="13"/>
      <c r="J439" s="13"/>
    </row>
    <row r="440" ht="15.75" customHeight="1">
      <c r="A440" s="11" t="s">
        <v>55</v>
      </c>
      <c r="B440" s="13" t="s">
        <v>56</v>
      </c>
      <c r="C440" s="13"/>
      <c r="D440" s="35"/>
      <c r="E440" s="53">
        <f>SUMPRODUCT(($B$24:$B$400="    Voluntarios DSC")*$D$24:$D$400*$F$24:$F$400)</f>
        <v>1575</v>
      </c>
      <c r="F440" s="35"/>
      <c r="G440" s="13"/>
      <c r="H440" s="19">
        <f>SUMIF($B$24:$B$400,"    Voluntarios DSC",$H$24:$H$400)</f>
        <v>0</v>
      </c>
      <c r="I440" s="13"/>
      <c r="J440" s="13"/>
    </row>
    <row r="441" ht="15.75" customHeight="1">
      <c r="A441" s="11" t="s">
        <v>57</v>
      </c>
      <c r="B441" s="13" t="s">
        <v>58</v>
      </c>
      <c r="C441" s="13"/>
      <c r="D441" s="35"/>
      <c r="E441" s="53">
        <f>SUMPRODUCT(($B$24:$B$400="    Ponentes")*$D$24:$D$400*$F$24:$F$400)</f>
        <v>144</v>
      </c>
      <c r="F441" s="35"/>
      <c r="G441" s="13"/>
      <c r="H441" s="19">
        <f>SUMIF($B$24:$B$400,"    Ponentes",$H$24:$H$400)</f>
        <v>0</v>
      </c>
      <c r="I441" s="13"/>
      <c r="J441" s="13"/>
    </row>
    <row r="442" ht="15.75" customHeight="1">
      <c r="A442" s="11" t="s">
        <v>59</v>
      </c>
      <c r="B442" s="13" t="s">
        <v>60</v>
      </c>
      <c r="C442" s="13"/>
      <c r="D442" s="35"/>
      <c r="E442" s="53">
        <f>SUMPRODUCT(($B$24:$B$400="    Mentores")*$D$24:$D$400*$F$24:$F$400)</f>
        <v>114</v>
      </c>
      <c r="F442" s="35"/>
      <c r="G442" s="13"/>
      <c r="H442" s="19">
        <f>SUMIF($B$24:$B$400,"    Mentores",$H$24:$H$400)</f>
        <v>0</v>
      </c>
      <c r="I442" s="13"/>
      <c r="J442" s="13"/>
    </row>
    <row r="443" ht="15.75" customHeight="1">
      <c r="A443" s="11" t="s">
        <v>62</v>
      </c>
      <c r="B443" s="13" t="s">
        <v>63</v>
      </c>
      <c r="C443" s="13"/>
      <c r="D443" s="35"/>
      <c r="E443" s="53">
        <f>SUMPRODUCT(($B$24:$B$400="    Jurados")*$D$24:$D$400*$F$24:$F$400)</f>
        <v>87</v>
      </c>
      <c r="F443" s="35"/>
      <c r="G443" s="13"/>
      <c r="H443" s="19">
        <f>SUMIF($B$24:$B$400,"    Jurados",$H$24:$H$400)</f>
        <v>0</v>
      </c>
      <c r="I443" s="13"/>
      <c r="J443" s="13"/>
    </row>
    <row r="444" ht="15.75" customHeight="1">
      <c r="A444" s="11" t="s">
        <v>64</v>
      </c>
      <c r="B444" s="13" t="s">
        <v>65</v>
      </c>
      <c r="C444" s="13"/>
      <c r="D444" s="35"/>
      <c r="E444" s="53">
        <f>SUMPRODUCT(($B$24:$B$400="    Pabellón V (P. Corrado, F. Solari)")*$D$24:$D$400*$F$24:$F$400)</f>
        <v>12</v>
      </c>
      <c r="F444" s="35"/>
      <c r="G444" s="13"/>
      <c r="H444" s="19">
        <f>SUMIF($B$24:$B$400,"    Pabellón V (P. Corrado, F. Solari)",$H$24:$H$400)</f>
        <v>0</v>
      </c>
      <c r="I444" s="13"/>
      <c r="J444" s="13"/>
    </row>
    <row r="445" ht="15.75" customHeight="1">
      <c r="D445" s="2"/>
      <c r="E445" s="2"/>
      <c r="F445" s="2"/>
    </row>
    <row r="446" ht="15.75" customHeight="1">
      <c r="B446" s="7" t="s">
        <v>518</v>
      </c>
      <c r="C446" s="50"/>
      <c r="D446" s="51"/>
      <c r="E446" s="51"/>
      <c r="F446" s="51"/>
      <c r="G446" s="5" t="s">
        <v>519</v>
      </c>
      <c r="H446" s="5" t="s">
        <v>500</v>
      </c>
      <c r="I446" s="50"/>
      <c r="J446" s="7" t="s">
        <v>22</v>
      </c>
    </row>
    <row r="447" ht="15.75" customHeight="1">
      <c r="B447" s="21" t="s">
        <v>520</v>
      </c>
      <c r="C447" s="13"/>
      <c r="D447" s="35"/>
      <c r="E447" s="35"/>
      <c r="F447" s="35"/>
      <c r="G447" s="13"/>
      <c r="H447" s="20">
        <f>H401</f>
        <v>14520</v>
      </c>
      <c r="I447" s="13"/>
      <c r="J447" s="17" t="s">
        <v>521</v>
      </c>
    </row>
    <row r="448" ht="15.75" customHeight="1">
      <c r="B448" s="13" t="s">
        <v>522</v>
      </c>
      <c r="C448" s="13"/>
      <c r="D448" s="35"/>
      <c r="E448" s="35"/>
      <c r="F448" s="35"/>
      <c r="G448" s="54"/>
      <c r="H448" s="19">
        <f>H409</f>
        <v>1160</v>
      </c>
      <c r="I448" s="13"/>
      <c r="J448" s="17" t="s">
        <v>523</v>
      </c>
    </row>
    <row r="449" ht="15.75" customHeight="1">
      <c r="B449" s="10" t="s">
        <v>142</v>
      </c>
      <c r="C449" s="12"/>
      <c r="D449" s="27"/>
      <c r="E449" s="27"/>
      <c r="F449" s="27"/>
      <c r="G449" s="12"/>
      <c r="H449" s="39">
        <f>H447+H448</f>
        <v>15680</v>
      </c>
      <c r="I449" s="12"/>
      <c r="J449" s="55" t="s">
        <v>524</v>
      </c>
    </row>
    <row r="450" ht="15.75" customHeight="1">
      <c r="B450" s="13" t="s">
        <v>525</v>
      </c>
      <c r="C450" s="13"/>
      <c r="D450" s="35"/>
      <c r="E450" s="35"/>
      <c r="F450" s="35"/>
      <c r="G450" s="54">
        <v>0.05</v>
      </c>
      <c r="H450" s="19">
        <f>H449*G450</f>
        <v>784</v>
      </c>
      <c r="I450" s="13"/>
      <c r="J450" s="17" t="s">
        <v>526</v>
      </c>
    </row>
    <row r="451" ht="15.75" customHeight="1">
      <c r="B451" s="10" t="s">
        <v>527</v>
      </c>
      <c r="C451" s="12"/>
      <c r="D451" s="27"/>
      <c r="E451" s="27"/>
      <c r="F451" s="27"/>
      <c r="G451" s="12"/>
      <c r="H451" s="39">
        <f>H449+H450</f>
        <v>16464</v>
      </c>
      <c r="I451" s="12"/>
      <c r="J451" s="55"/>
    </row>
    <row r="452" ht="15.75" customHeight="1">
      <c r="B452" s="13" t="s">
        <v>528</v>
      </c>
      <c r="C452" s="13"/>
      <c r="D452" s="35"/>
      <c r="E452" s="35"/>
      <c r="F452" s="35"/>
      <c r="G452" s="56">
        <v>0.0</v>
      </c>
      <c r="H452" s="19">
        <f>H451*G452</f>
        <v>0</v>
      </c>
      <c r="I452" s="13"/>
      <c r="J452" s="17" t="s">
        <v>529</v>
      </c>
    </row>
    <row r="453" ht="15.75" customHeight="1">
      <c r="B453" s="13" t="s">
        <v>530</v>
      </c>
      <c r="C453" s="13"/>
      <c r="D453" s="35"/>
      <c r="E453" s="35"/>
      <c r="F453" s="35"/>
      <c r="G453" s="56">
        <v>0.0</v>
      </c>
      <c r="H453" s="19">
        <f>(H451+H452)*G453</f>
        <v>0</v>
      </c>
      <c r="I453" s="13"/>
      <c r="J453" s="17" t="s">
        <v>531</v>
      </c>
    </row>
    <row r="454" ht="15.75" customHeight="1">
      <c r="B454" s="10" t="s">
        <v>17</v>
      </c>
      <c r="C454" s="12"/>
      <c r="D454" s="27"/>
      <c r="E454" s="27"/>
      <c r="F454" s="27"/>
      <c r="G454" s="12"/>
      <c r="H454" s="39">
        <f>H451+H452+H453</f>
        <v>16464</v>
      </c>
      <c r="I454" s="12"/>
      <c r="J454" s="55" t="s">
        <v>532</v>
      </c>
    </row>
    <row r="455" ht="15.75" customHeight="1">
      <c r="D455" s="2"/>
      <c r="E455" s="2"/>
      <c r="F455" s="2"/>
    </row>
    <row r="456" ht="15.75" customHeight="1">
      <c r="B456" s="7" t="s">
        <v>533</v>
      </c>
      <c r="C456" s="50"/>
      <c r="D456" s="51"/>
      <c r="E456" s="51"/>
      <c r="F456" s="51"/>
      <c r="G456" s="50"/>
      <c r="H456" s="50"/>
      <c r="I456" s="50"/>
      <c r="J456" s="50"/>
    </row>
    <row r="457" ht="15.75" customHeight="1">
      <c r="B457" s="13" t="s">
        <v>28</v>
      </c>
      <c r="C457" s="13"/>
      <c r="D457" s="35"/>
      <c r="E457" s="35"/>
      <c r="F457" s="35"/>
      <c r="G457" s="13"/>
      <c r="H457" s="14">
        <v>300.0</v>
      </c>
      <c r="I457" s="13"/>
      <c r="J457" s="17" t="s">
        <v>534</v>
      </c>
    </row>
    <row r="458" ht="15.75" customHeight="1">
      <c r="B458" s="13" t="s">
        <v>535</v>
      </c>
      <c r="C458" s="13"/>
      <c r="D458" s="35"/>
      <c r="E458" s="35"/>
      <c r="F458" s="35"/>
      <c r="G458" s="13"/>
      <c r="H458" s="57">
        <v>18200.0</v>
      </c>
      <c r="I458" s="13"/>
      <c r="J458" s="17" t="s">
        <v>536</v>
      </c>
    </row>
    <row r="459" ht="15.75" customHeight="1">
      <c r="B459" s="21" t="s">
        <v>537</v>
      </c>
      <c r="C459" s="13"/>
      <c r="D459" s="35"/>
      <c r="E459" s="35"/>
      <c r="F459" s="35"/>
      <c r="G459" s="13"/>
      <c r="H459" s="20">
        <f>H457+H458</f>
        <v>18500</v>
      </c>
      <c r="I459" s="13"/>
      <c r="J459" s="17"/>
    </row>
    <row r="460" ht="15.75" customHeight="1">
      <c r="B460" s="10" t="s">
        <v>538</v>
      </c>
      <c r="C460" s="12"/>
      <c r="D460" s="27"/>
      <c r="E460" s="27"/>
      <c r="F460" s="27"/>
      <c r="G460" s="12"/>
      <c r="H460" s="39">
        <f>H459-H454</f>
        <v>2036</v>
      </c>
      <c r="I460" s="12"/>
      <c r="J460" s="55" t="s">
        <v>539</v>
      </c>
    </row>
    <row r="461" ht="15.75" customHeight="1">
      <c r="B461" s="13" t="s">
        <v>540</v>
      </c>
      <c r="C461" s="13"/>
      <c r="D461" s="35"/>
      <c r="E461" s="35"/>
      <c r="F461" s="35"/>
      <c r="G461" s="13"/>
      <c r="H461" s="14">
        <v>2000.0</v>
      </c>
      <c r="I461" s="13"/>
      <c r="J461" s="17"/>
    </row>
    <row r="462" ht="15.75" customHeight="1">
      <c r="B462" s="21" t="s">
        <v>541</v>
      </c>
      <c r="C462" s="13"/>
      <c r="D462" s="35"/>
      <c r="E462" s="35"/>
      <c r="F462" s="35"/>
      <c r="G462" s="13"/>
      <c r="H462" s="58" t="str">
        <f>IF(H460&gt;=H461,"Sí","No")</f>
        <v>Sí</v>
      </c>
      <c r="I462" s="13"/>
      <c r="J462" s="17" t="s">
        <v>542</v>
      </c>
    </row>
    <row r="463" ht="15.75" customHeight="1">
      <c r="D463" s="2"/>
      <c r="E463" s="2"/>
      <c r="F463" s="2"/>
    </row>
    <row r="464" ht="15.75" customHeight="1">
      <c r="D464" s="2"/>
      <c r="E464" s="2"/>
      <c r="F464" s="2"/>
    </row>
  </sheetData>
  <mergeCells count="17">
    <mergeCell ref="D4:I4"/>
    <mergeCell ref="D5:I5"/>
    <mergeCell ref="D6:I6"/>
    <mergeCell ref="D7:I7"/>
    <mergeCell ref="D8:I8"/>
    <mergeCell ref="D9:I9"/>
    <mergeCell ref="D10:I10"/>
    <mergeCell ref="D18:I18"/>
    <mergeCell ref="D19:I19"/>
    <mergeCell ref="D20:I20"/>
    <mergeCell ref="D11:I11"/>
    <mergeCell ref="D12:I12"/>
    <mergeCell ref="D13:I13"/>
    <mergeCell ref="D14:I14"/>
    <mergeCell ref="D15:I15"/>
    <mergeCell ref="D16:I16"/>
    <mergeCell ref="D17:I17"/>
  </mergeCells>
  <printOptions/>
  <pageMargins bottom="1.0" footer="0.0" header="0.0" left="0.75" right="0.75" top="1.0"/>
  <pageSetup fitToHeight="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xSplit="1.0" ySplit="4.0" topLeftCell="B5" activePane="bottomRight" state="frozen"/>
      <selection activeCell="B1" sqref="B1" pane="topRight"/>
      <selection activeCell="A5" sqref="A5" pane="bottomLeft"/>
      <selection activeCell="B5" sqref="B5" pane="bottomRight"/>
    </sheetView>
  </sheetViews>
  <sheetFormatPr customHeight="1" defaultColWidth="14.43" defaultRowHeight="15.0"/>
  <cols>
    <col customWidth="1" min="1" max="1" width="50.0"/>
    <col customWidth="1" min="2" max="10" width="12.43"/>
    <col customWidth="1" min="11" max="11" width="8.71"/>
    <col customWidth="1" min="12" max="12" width="22.0"/>
    <col customWidth="1" min="13" max="13" width="12.0"/>
    <col customWidth="1" min="14" max="14" width="41.29"/>
    <col customWidth="1" min="15" max="26" width="8.71"/>
  </cols>
  <sheetData>
    <row r="1">
      <c r="A1" s="1" t="s">
        <v>1</v>
      </c>
    </row>
    <row r="2">
      <c r="A2" s="3" t="s">
        <v>2</v>
      </c>
    </row>
    <row r="4" ht="31.5" customHeight="1">
      <c r="A4" s="5" t="s">
        <v>4</v>
      </c>
      <c r="B4" s="5" t="s">
        <v>7</v>
      </c>
      <c r="C4" s="5" t="s">
        <v>9</v>
      </c>
      <c r="D4" s="5" t="s">
        <v>10</v>
      </c>
      <c r="E4" s="5" t="s">
        <v>12</v>
      </c>
      <c r="F4" s="5" t="s">
        <v>13</v>
      </c>
      <c r="G4" s="5" t="s">
        <v>14</v>
      </c>
      <c r="H4" s="5" t="s">
        <v>15</v>
      </c>
      <c r="I4" s="5" t="s">
        <v>16</v>
      </c>
      <c r="J4" s="5" t="s">
        <v>17</v>
      </c>
      <c r="L4" s="7" t="s">
        <v>18</v>
      </c>
      <c r="M4" s="5" t="s">
        <v>19</v>
      </c>
      <c r="N4" s="7" t="s">
        <v>20</v>
      </c>
    </row>
    <row r="5">
      <c r="A5" s="10" t="s">
        <v>21</v>
      </c>
      <c r="B5" s="12"/>
      <c r="C5" s="12"/>
      <c r="D5" s="12"/>
      <c r="E5" s="12"/>
      <c r="F5" s="12"/>
      <c r="G5" s="12"/>
      <c r="H5" s="12"/>
      <c r="I5" s="12"/>
      <c r="J5" s="12"/>
      <c r="L5" s="13" t="s">
        <v>25</v>
      </c>
      <c r="M5" s="15">
        <v>0.3</v>
      </c>
      <c r="N5" s="17" t="s">
        <v>27</v>
      </c>
    </row>
    <row r="6">
      <c r="A6" s="13" t="s">
        <v>28</v>
      </c>
      <c r="B6" s="18">
        <f>'Presupuesto por Entregable'!H457</f>
        <v>300</v>
      </c>
      <c r="C6" s="19"/>
      <c r="D6" s="19"/>
      <c r="E6" s="19"/>
      <c r="F6" s="19"/>
      <c r="G6" s="19"/>
      <c r="H6" s="19"/>
      <c r="I6" s="19"/>
      <c r="J6" s="20">
        <f t="shared" ref="J6:J10" si="1">SUM(B6:I6)</f>
        <v>300</v>
      </c>
      <c r="L6" s="13" t="s">
        <v>42</v>
      </c>
      <c r="M6" s="15">
        <v>0.2</v>
      </c>
      <c r="N6" s="17" t="s">
        <v>44</v>
      </c>
    </row>
    <row r="7">
      <c r="A7" s="13" t="s">
        <v>45</v>
      </c>
      <c r="B7" s="19"/>
      <c r="C7" s="18">
        <f>'Presupuesto por Entregable'!$H$458*$M$5</f>
        <v>5460</v>
      </c>
      <c r="D7" s="19"/>
      <c r="E7" s="19"/>
      <c r="F7" s="19"/>
      <c r="G7" s="19"/>
      <c r="H7" s="19"/>
      <c r="I7" s="19"/>
      <c r="J7" s="20">
        <f t="shared" si="1"/>
        <v>5460</v>
      </c>
      <c r="L7" s="13" t="s">
        <v>50</v>
      </c>
      <c r="M7" s="15">
        <v>0.5</v>
      </c>
      <c r="N7" s="17" t="s">
        <v>51</v>
      </c>
    </row>
    <row r="8">
      <c r="A8" s="13" t="s">
        <v>52</v>
      </c>
      <c r="B8" s="19"/>
      <c r="C8" s="19"/>
      <c r="D8" s="19"/>
      <c r="E8" s="18">
        <f>'Presupuesto por Entregable'!$H$458*$M$6</f>
        <v>3640</v>
      </c>
      <c r="F8" s="19"/>
      <c r="G8" s="19"/>
      <c r="H8" s="19"/>
      <c r="I8" s="19"/>
      <c r="J8" s="20">
        <f t="shared" si="1"/>
        <v>3640</v>
      </c>
      <c r="L8" s="21" t="s">
        <v>17</v>
      </c>
      <c r="M8" s="22">
        <f>SUM(M5:M7)</f>
        <v>1</v>
      </c>
    </row>
    <row r="9">
      <c r="A9" s="13" t="s">
        <v>61</v>
      </c>
      <c r="B9" s="19"/>
      <c r="C9" s="19"/>
      <c r="D9" s="19"/>
      <c r="E9" s="19"/>
      <c r="F9" s="19"/>
      <c r="G9" s="18">
        <f>'Presupuesto por Entregable'!$H$458*$M$7</f>
        <v>9100</v>
      </c>
      <c r="H9" s="19"/>
      <c r="I9" s="19"/>
      <c r="J9" s="20">
        <f t="shared" si="1"/>
        <v>9100</v>
      </c>
    </row>
    <row r="10">
      <c r="A10" s="23" t="s">
        <v>67</v>
      </c>
      <c r="B10" s="25">
        <f t="shared" ref="B10:I10" si="2">SUM(B6:B9)</f>
        <v>300</v>
      </c>
      <c r="C10" s="25">
        <f t="shared" si="2"/>
        <v>5460</v>
      </c>
      <c r="D10" s="25">
        <f t="shared" si="2"/>
        <v>0</v>
      </c>
      <c r="E10" s="25">
        <f t="shared" si="2"/>
        <v>3640</v>
      </c>
      <c r="F10" s="25">
        <f t="shared" si="2"/>
        <v>0</v>
      </c>
      <c r="G10" s="25">
        <f t="shared" si="2"/>
        <v>9100</v>
      </c>
      <c r="H10" s="25">
        <f t="shared" si="2"/>
        <v>0</v>
      </c>
      <c r="I10" s="25">
        <f t="shared" si="2"/>
        <v>0</v>
      </c>
      <c r="J10" s="25">
        <f t="shared" si="1"/>
        <v>18500</v>
      </c>
    </row>
    <row r="11">
      <c r="A11" s="10" t="s">
        <v>82</v>
      </c>
      <c r="B11" s="12"/>
      <c r="C11" s="12"/>
      <c r="D11" s="12"/>
      <c r="E11" s="12"/>
      <c r="F11" s="12"/>
      <c r="G11" s="12"/>
      <c r="H11" s="12"/>
      <c r="I11" s="12"/>
      <c r="J11" s="12"/>
    </row>
    <row r="12">
      <c r="A12" s="13" t="s">
        <v>84</v>
      </c>
      <c r="B12" s="19"/>
      <c r="C12" s="18">
        <f>'Presupuesto por Entregable'!H414</f>
        <v>1490</v>
      </c>
      <c r="D12" s="19"/>
      <c r="E12" s="19"/>
      <c r="F12" s="19"/>
      <c r="G12" s="19"/>
      <c r="H12" s="19"/>
      <c r="I12" s="19"/>
      <c r="J12" s="20">
        <f t="shared" ref="J12:J22" si="3">SUM(B12:I12)</f>
        <v>1490</v>
      </c>
    </row>
    <row r="13">
      <c r="A13" s="13" t="s">
        <v>85</v>
      </c>
      <c r="B13" s="18">
        <f>'Presupuesto por Entregable'!H97</f>
        <v>60</v>
      </c>
      <c r="C13" s="18">
        <f>'Presupuesto por Entregable'!H98+'Presupuesto por Entregable'!H99+'Presupuesto por Entregable'!H100/'Presupuesto por Entregable'!F100</f>
        <v>590</v>
      </c>
      <c r="D13" s="18">
        <f>'Presupuesto por Entregable'!H100/'Presupuesto por Entregable'!F100</f>
        <v>80</v>
      </c>
      <c r="E13" s="18">
        <f>'Presupuesto por Entregable'!H100/'Presupuesto por Entregable'!F100</f>
        <v>80</v>
      </c>
      <c r="F13" s="18">
        <f>'Presupuesto por Entregable'!H100/'Presupuesto por Entregable'!F100</f>
        <v>80</v>
      </c>
      <c r="G13" s="18">
        <f>'Presupuesto por Entregable'!H100/'Presupuesto por Entregable'!F100</f>
        <v>80</v>
      </c>
      <c r="H13" s="18">
        <f>'Presupuesto por Entregable'!H100/'Presupuesto por Entregable'!F100</f>
        <v>80</v>
      </c>
      <c r="I13" s="19"/>
      <c r="J13" s="20">
        <f t="shared" si="3"/>
        <v>1050</v>
      </c>
    </row>
    <row r="14">
      <c r="A14" s="13" t="s">
        <v>93</v>
      </c>
      <c r="B14" s="19"/>
      <c r="C14" s="19"/>
      <c r="D14" s="18">
        <f>'Presupuesto por Entregable'!H416</f>
        <v>560</v>
      </c>
      <c r="E14" s="19"/>
      <c r="F14" s="19"/>
      <c r="G14" s="19"/>
      <c r="H14" s="19"/>
      <c r="I14" s="19"/>
      <c r="J14" s="20">
        <f t="shared" si="3"/>
        <v>560</v>
      </c>
    </row>
    <row r="15">
      <c r="A15" s="13" t="s">
        <v>95</v>
      </c>
      <c r="B15" s="19"/>
      <c r="C15" s="19"/>
      <c r="D15" s="18">
        <f>'Presupuesto por Entregable'!H419</f>
        <v>500</v>
      </c>
      <c r="E15" s="19"/>
      <c r="F15" s="19"/>
      <c r="G15" s="19"/>
      <c r="H15" s="19"/>
      <c r="I15" s="19"/>
      <c r="J15" s="20">
        <f t="shared" si="3"/>
        <v>500</v>
      </c>
    </row>
    <row r="16">
      <c r="A16" s="13" t="s">
        <v>96</v>
      </c>
      <c r="B16" s="19"/>
      <c r="C16" s="19"/>
      <c r="D16" s="19"/>
      <c r="E16" s="18">
        <f>'Presupuesto por Entregable'!H417</f>
        <v>560</v>
      </c>
      <c r="F16" s="19"/>
      <c r="G16" s="19"/>
      <c r="H16" s="19"/>
      <c r="I16" s="19"/>
      <c r="J16" s="20">
        <f t="shared" si="3"/>
        <v>560</v>
      </c>
    </row>
    <row r="17">
      <c r="A17" s="13" t="s">
        <v>98</v>
      </c>
      <c r="B17" s="19"/>
      <c r="C17" s="19"/>
      <c r="D17" s="19"/>
      <c r="E17" s="18">
        <f>'Presupuesto por Entregable'!H420</f>
        <v>500</v>
      </c>
      <c r="F17" s="19"/>
      <c r="G17" s="19"/>
      <c r="H17" s="19"/>
      <c r="I17" s="19"/>
      <c r="J17" s="20">
        <f t="shared" si="3"/>
        <v>500</v>
      </c>
    </row>
    <row r="18">
      <c r="A18" s="13" t="s">
        <v>101</v>
      </c>
      <c r="B18" s="19"/>
      <c r="C18" s="19"/>
      <c r="D18" s="19"/>
      <c r="E18" s="19"/>
      <c r="F18" s="18">
        <f>'Presupuesto por Entregable'!H421</f>
        <v>2290</v>
      </c>
      <c r="G18" s="19"/>
      <c r="H18" s="19"/>
      <c r="I18" s="19"/>
      <c r="J18" s="20">
        <f t="shared" si="3"/>
        <v>2290</v>
      </c>
    </row>
    <row r="19">
      <c r="A19" s="13" t="s">
        <v>103</v>
      </c>
      <c r="B19" s="19"/>
      <c r="C19" s="19"/>
      <c r="D19" s="19"/>
      <c r="E19" s="19"/>
      <c r="F19" s="19"/>
      <c r="G19" s="18">
        <f>'Presupuesto por Entregable'!H418</f>
        <v>980</v>
      </c>
      <c r="H19" s="19"/>
      <c r="I19" s="19"/>
      <c r="J19" s="20">
        <f t="shared" si="3"/>
        <v>980</v>
      </c>
    </row>
    <row r="20">
      <c r="A20" s="13" t="s">
        <v>105</v>
      </c>
      <c r="B20" s="19"/>
      <c r="C20" s="19"/>
      <c r="D20" s="19"/>
      <c r="E20" s="19"/>
      <c r="F20" s="19"/>
      <c r="G20" s="19"/>
      <c r="H20" s="18">
        <f>'Presupuesto por Entregable'!H422</f>
        <v>6590</v>
      </c>
      <c r="I20" s="19"/>
      <c r="J20" s="20">
        <f t="shared" si="3"/>
        <v>6590</v>
      </c>
    </row>
    <row r="21" ht="15.75" customHeight="1">
      <c r="A21" s="23" t="s">
        <v>108</v>
      </c>
      <c r="B21" s="25">
        <f t="shared" ref="B21:I21" si="4">SUM(B12:B20)</f>
        <v>60</v>
      </c>
      <c r="C21" s="25">
        <f t="shared" si="4"/>
        <v>2080</v>
      </c>
      <c r="D21" s="25">
        <f t="shared" si="4"/>
        <v>1140</v>
      </c>
      <c r="E21" s="25">
        <f t="shared" si="4"/>
        <v>1140</v>
      </c>
      <c r="F21" s="25">
        <f t="shared" si="4"/>
        <v>2370</v>
      </c>
      <c r="G21" s="25">
        <f t="shared" si="4"/>
        <v>1060</v>
      </c>
      <c r="H21" s="25">
        <f t="shared" si="4"/>
        <v>6670</v>
      </c>
      <c r="I21" s="25">
        <f t="shared" si="4"/>
        <v>0</v>
      </c>
      <c r="J21" s="25">
        <f t="shared" si="3"/>
        <v>14520</v>
      </c>
    </row>
    <row r="22" ht="15.75" customHeight="1">
      <c r="A22" s="13" t="s">
        <v>110</v>
      </c>
      <c r="B22" s="19">
        <f t="shared" ref="B22:I22" si="5">B10-B21</f>
        <v>240</v>
      </c>
      <c r="C22" s="19">
        <f t="shared" si="5"/>
        <v>3380</v>
      </c>
      <c r="D22" s="19">
        <f t="shared" si="5"/>
        <v>-1140</v>
      </c>
      <c r="E22" s="19">
        <f t="shared" si="5"/>
        <v>2500</v>
      </c>
      <c r="F22" s="19">
        <f t="shared" si="5"/>
        <v>-2370</v>
      </c>
      <c r="G22" s="19">
        <f t="shared" si="5"/>
        <v>8040</v>
      </c>
      <c r="H22" s="19">
        <f t="shared" si="5"/>
        <v>-6670</v>
      </c>
      <c r="I22" s="19">
        <f t="shared" si="5"/>
        <v>0</v>
      </c>
      <c r="J22" s="20">
        <f t="shared" si="3"/>
        <v>3980</v>
      </c>
    </row>
    <row r="23" ht="15.75" customHeight="1">
      <c r="A23" s="10" t="s">
        <v>113</v>
      </c>
      <c r="B23" s="39">
        <f>B10-B21</f>
        <v>240</v>
      </c>
      <c r="C23" s="39">
        <f t="shared" ref="C23:I23" si="6">B23+C10-C21</f>
        <v>3620</v>
      </c>
      <c r="D23" s="39">
        <f t="shared" si="6"/>
        <v>2480</v>
      </c>
      <c r="E23" s="39">
        <f t="shared" si="6"/>
        <v>4980</v>
      </c>
      <c r="F23" s="39">
        <f t="shared" si="6"/>
        <v>2610</v>
      </c>
      <c r="G23" s="39">
        <f t="shared" si="6"/>
        <v>10650</v>
      </c>
      <c r="H23" s="39">
        <f t="shared" si="6"/>
        <v>3980</v>
      </c>
      <c r="I23" s="39">
        <f t="shared" si="6"/>
        <v>3980</v>
      </c>
      <c r="J23" s="12"/>
    </row>
    <row r="24" ht="15.75" customHeight="1"/>
    <row r="25" ht="15.75" customHeight="1">
      <c r="A25" s="21" t="s">
        <v>119</v>
      </c>
      <c r="B25" s="18">
        <f>'Presupuesto por Entregable'!H460+'Presupuesto por Entregable'!H448+'Presupuesto por Entregable'!H450</f>
        <v>3980</v>
      </c>
    </row>
    <row r="26" ht="15.75" customHeight="1">
      <c r="A26" s="21" t="s">
        <v>120</v>
      </c>
      <c r="B26" s="20">
        <f>I23-B25</f>
        <v>0</v>
      </c>
    </row>
    <row r="27" ht="15.75" customHeight="1">
      <c r="A27" s="21" t="s">
        <v>121</v>
      </c>
      <c r="B27" s="20">
        <f>MIN(B23:I23)</f>
        <v>240</v>
      </c>
    </row>
    <row r="28" ht="15.75" customHeight="1"/>
    <row r="29" ht="15.75" customHeight="1">
      <c r="A29" s="3" t="s">
        <v>122</v>
      </c>
    </row>
    <row r="30" ht="15.75" customHeight="1">
      <c r="A30" s="3" t="s">
        <v>123</v>
      </c>
    </row>
    <row r="31" ht="15.75" customHeight="1">
      <c r="A31" s="3" t="s">
        <v>125</v>
      </c>
    </row>
    <row r="32" ht="15.75" customHeight="1">
      <c r="A32" s="3" t="s">
        <v>127</v>
      </c>
    </row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fitToHeight="0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4.43" defaultRowHeight="15.0"/>
  <cols>
    <col customWidth="1" min="1" max="1" width="12.0"/>
    <col customWidth="1" min="2" max="4" width="18.0"/>
    <col customWidth="1" min="5" max="5" width="20.0"/>
    <col customWidth="1" min="6" max="26" width="8.71"/>
  </cols>
  <sheetData>
    <row r="1">
      <c r="A1" s="1" t="s">
        <v>134</v>
      </c>
    </row>
    <row r="2">
      <c r="A2" s="3" t="s">
        <v>136</v>
      </c>
    </row>
    <row r="4" ht="30.0" customHeight="1">
      <c r="A4" s="5" t="s">
        <v>137</v>
      </c>
      <c r="B4" s="5" t="s">
        <v>138</v>
      </c>
      <c r="C4" s="5" t="s">
        <v>141</v>
      </c>
      <c r="D4" s="5" t="s">
        <v>142</v>
      </c>
      <c r="E4" s="5" t="s">
        <v>143</v>
      </c>
    </row>
    <row r="5">
      <c r="A5" s="11" t="s">
        <v>144</v>
      </c>
      <c r="B5" s="18">
        <f>'Flujo de Caja'!B21</f>
        <v>60</v>
      </c>
      <c r="C5" s="19">
        <f>B5</f>
        <v>60</v>
      </c>
      <c r="D5" s="18">
        <f>'Presupuesto por Entregable'!$H$449</f>
        <v>15680</v>
      </c>
      <c r="E5" s="18">
        <f>'Flujo de Caja'!B10</f>
        <v>300</v>
      </c>
    </row>
    <row r="6">
      <c r="A6" s="11" t="s">
        <v>152</v>
      </c>
      <c r="B6" s="18">
        <f>'Flujo de Caja'!C21</f>
        <v>2080</v>
      </c>
      <c r="C6" s="19">
        <f t="shared" ref="C6:C12" si="1">C5+B6</f>
        <v>2140</v>
      </c>
      <c r="D6" s="18">
        <f>'Presupuesto por Entregable'!$H$449</f>
        <v>15680</v>
      </c>
      <c r="E6" s="18">
        <f>E5+'Flujo de Caja'!C10</f>
        <v>5760</v>
      </c>
    </row>
    <row r="7">
      <c r="A7" s="11" t="s">
        <v>157</v>
      </c>
      <c r="B7" s="18">
        <f>'Flujo de Caja'!D21</f>
        <v>1140</v>
      </c>
      <c r="C7" s="19">
        <f t="shared" si="1"/>
        <v>3280</v>
      </c>
      <c r="D7" s="18">
        <f>'Presupuesto por Entregable'!$H$449</f>
        <v>15680</v>
      </c>
      <c r="E7" s="18">
        <f>E6+'Flujo de Caja'!D10</f>
        <v>5760</v>
      </c>
    </row>
    <row r="8">
      <c r="A8" s="11" t="s">
        <v>160</v>
      </c>
      <c r="B8" s="18">
        <f>'Flujo de Caja'!E21</f>
        <v>1140</v>
      </c>
      <c r="C8" s="19">
        <f t="shared" si="1"/>
        <v>4420</v>
      </c>
      <c r="D8" s="18">
        <f>'Presupuesto por Entregable'!$H$449</f>
        <v>15680</v>
      </c>
      <c r="E8" s="18">
        <f>E7+'Flujo de Caja'!E10</f>
        <v>9400</v>
      </c>
    </row>
    <row r="9">
      <c r="A9" s="11" t="s">
        <v>162</v>
      </c>
      <c r="B9" s="18">
        <f>'Flujo de Caja'!F21</f>
        <v>2370</v>
      </c>
      <c r="C9" s="19">
        <f t="shared" si="1"/>
        <v>6790</v>
      </c>
      <c r="D9" s="18">
        <f>'Presupuesto por Entregable'!$H$449</f>
        <v>15680</v>
      </c>
      <c r="E9" s="18">
        <f>E8+'Flujo de Caja'!F10</f>
        <v>9400</v>
      </c>
    </row>
    <row r="10">
      <c r="A10" s="11" t="s">
        <v>166</v>
      </c>
      <c r="B10" s="18">
        <f>'Flujo de Caja'!G21</f>
        <v>1060</v>
      </c>
      <c r="C10" s="19">
        <f t="shared" si="1"/>
        <v>7850</v>
      </c>
      <c r="D10" s="18">
        <f>'Presupuesto por Entregable'!$H$449</f>
        <v>15680</v>
      </c>
      <c r="E10" s="18">
        <f>E9+'Flujo de Caja'!G10</f>
        <v>18500</v>
      </c>
    </row>
    <row r="11">
      <c r="A11" s="11" t="s">
        <v>167</v>
      </c>
      <c r="B11" s="18">
        <f>'Flujo de Caja'!H21</f>
        <v>6670</v>
      </c>
      <c r="C11" s="19">
        <f t="shared" si="1"/>
        <v>14520</v>
      </c>
      <c r="D11" s="18">
        <f>'Presupuesto por Entregable'!$H$449</f>
        <v>15680</v>
      </c>
      <c r="E11" s="18">
        <f>E10+'Flujo de Caja'!H10</f>
        <v>18500</v>
      </c>
    </row>
    <row r="12">
      <c r="A12" s="11" t="s">
        <v>173</v>
      </c>
      <c r="B12" s="18">
        <f>'Flujo de Caja'!I21</f>
        <v>0</v>
      </c>
      <c r="C12" s="19">
        <f t="shared" si="1"/>
        <v>14520</v>
      </c>
      <c r="D12" s="18">
        <f>'Presupuesto por Entregable'!$H$449</f>
        <v>15680</v>
      </c>
      <c r="E12" s="18">
        <f>E11+'Flujo de Caja'!I10</f>
        <v>18500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fitToHeight="0" orientation="landscape"/>
  <drawing r:id="rId1"/>
</worksheet>
</file>