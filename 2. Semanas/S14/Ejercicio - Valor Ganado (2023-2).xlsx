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\Downloads\"/>
    </mc:Choice>
  </mc:AlternateContent>
  <xr:revisionPtr revIDLastSave="0" documentId="13_ncr:1_{00C4E241-B5BA-4442-BAB2-B2551AFF7A3E}" xr6:coauthVersionLast="47" xr6:coauthVersionMax="47" xr10:uidLastSave="{00000000-0000-0000-0000-000000000000}"/>
  <bookViews>
    <workbookView xWindow="-120" yWindow="-120" windowWidth="20730" windowHeight="11160" xr2:uid="{D695C1A7-B52E-4EC6-B714-B447E7CE1A9A}"/>
  </bookViews>
  <sheets>
    <sheet name="2023-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1" l="1"/>
  <c r="O16" i="1"/>
  <c r="O26" i="1"/>
  <c r="O46" i="1" s="1"/>
  <c r="O9" i="1"/>
  <c r="O38" i="1" s="1"/>
  <c r="O6" i="1"/>
  <c r="O50" i="1" l="1"/>
  <c r="O42" i="1"/>
</calcChain>
</file>

<file path=xl/sharedStrings.xml><?xml version="1.0" encoding="utf-8"?>
<sst xmlns="http://schemas.openxmlformats.org/spreadsheetml/2006/main" count="32" uniqueCount="20">
  <si>
    <t>Tarea</t>
  </si>
  <si>
    <t>Semana 1</t>
  </si>
  <si>
    <t>Semana 2</t>
  </si>
  <si>
    <t>Semana 3</t>
  </si>
  <si>
    <t>Semana 4</t>
  </si>
  <si>
    <t>Semana 5</t>
  </si>
  <si>
    <r>
      <t xml:space="preserve">2. </t>
    </r>
    <r>
      <rPr>
        <b/>
        <sz val="11"/>
        <color theme="1"/>
        <rFont val="Calibri"/>
        <family val="2"/>
        <scheme val="minor"/>
      </rPr>
      <t>Valor planificado (PV) a la semana 3</t>
    </r>
    <r>
      <rPr>
        <sz val="11"/>
        <color theme="1"/>
        <rFont val="Calibri"/>
        <family val="2"/>
        <scheme val="minor"/>
      </rPr>
      <t>: es la suma de los costos presupuestados hasta la semana 3 para todas las tareas.</t>
    </r>
  </si>
  <si>
    <r>
      <t xml:space="preserve">1. </t>
    </r>
    <r>
      <rPr>
        <b/>
        <sz val="11"/>
        <color theme="1"/>
        <rFont val="Calibri"/>
        <family val="2"/>
        <scheme val="minor"/>
      </rPr>
      <t>Costo total presupuestado (BAC)</t>
    </r>
    <r>
      <rPr>
        <sz val="11"/>
        <color theme="1"/>
        <rFont val="Calibri"/>
        <family val="2"/>
        <scheme val="minor"/>
      </rPr>
      <t>: es la suma de los costos presupuestados de todas las tareas.</t>
    </r>
  </si>
  <si>
    <r>
      <t xml:space="preserve">3. </t>
    </r>
    <r>
      <rPr>
        <b/>
        <sz val="11"/>
        <color theme="1"/>
        <rFont val="Calibri"/>
        <family val="2"/>
        <scheme val="minor"/>
      </rPr>
      <t>Costo real (AC) a la semana 3</t>
    </r>
    <r>
      <rPr>
        <sz val="11"/>
        <color theme="1"/>
        <rFont val="Calibri"/>
        <family val="2"/>
        <scheme val="minor"/>
      </rPr>
      <t>: es la suma de los costos reales hasta la semana 3 para todas las tareas.</t>
    </r>
  </si>
  <si>
    <r>
      <t xml:space="preserve">4. </t>
    </r>
    <r>
      <rPr>
        <b/>
        <sz val="11"/>
        <color theme="1"/>
        <rFont val="Calibri"/>
        <family val="2"/>
        <scheme val="minor"/>
      </rPr>
      <t>Valor ganado (EV) a la semana 3</t>
    </r>
    <r>
      <rPr>
        <sz val="11"/>
        <color theme="1"/>
        <rFont val="Calibri"/>
        <family val="2"/>
        <scheme val="minor"/>
      </rPr>
      <t>: es la suma de los valores ganados hasta la semana 3 para todas las tareas.</t>
    </r>
  </si>
  <si>
    <r>
      <rPr>
        <b/>
        <u/>
        <sz val="11"/>
        <color theme="1"/>
        <rFont val="Calibri"/>
        <family val="2"/>
        <scheme val="minor"/>
      </rPr>
      <t>Índices de desempeño y variaciones</t>
    </r>
    <r>
      <rPr>
        <sz val="11"/>
        <color theme="1"/>
        <rFont val="Calibri"/>
        <family val="2"/>
        <scheme val="minor"/>
      </rPr>
      <t>:</t>
    </r>
  </si>
  <si>
    <r>
      <rPr>
        <b/>
        <sz val="11"/>
        <color theme="1"/>
        <rFont val="Calibri"/>
        <family val="2"/>
        <scheme val="minor"/>
      </rPr>
      <t>CPI (Índice de Rendimiento del Costo)</t>
    </r>
    <r>
      <rPr>
        <sz val="11"/>
        <color theme="1"/>
        <rFont val="Calibri"/>
        <family val="2"/>
        <scheme val="minor"/>
      </rPr>
      <t>: por cada sol gastado, el proyecto obtiene 0.82 soles de valor ganado. Esto indica que el proyecto está sobre el presupuesto.</t>
    </r>
  </si>
  <si>
    <r>
      <rPr>
        <b/>
        <sz val="11"/>
        <color theme="1"/>
        <rFont val="Calibri"/>
        <family val="2"/>
        <scheme val="minor"/>
      </rPr>
      <t>CV (Variación del Costo)</t>
    </r>
    <r>
      <rPr>
        <sz val="11"/>
        <color theme="1"/>
        <rFont val="Calibri"/>
        <family val="2"/>
        <scheme val="minor"/>
      </rPr>
      <t>: el proyecto ha gastado 20 soles más de lo que ha ganado en valor hasta la semana 3.</t>
    </r>
  </si>
  <si>
    <r>
      <rPr>
        <b/>
        <sz val="11"/>
        <color theme="1"/>
        <rFont val="Calibri"/>
        <family val="2"/>
        <scheme val="minor"/>
      </rPr>
      <t>SV (Variación del Cronograma)</t>
    </r>
    <r>
      <rPr>
        <sz val="11"/>
        <color theme="1"/>
        <rFont val="Calibri"/>
        <family val="2"/>
        <scheme val="minor"/>
      </rPr>
      <t>: el proyecto está atrasado en 7 soles de valor planificado hasta la semana 3.</t>
    </r>
  </si>
  <si>
    <r>
      <rPr>
        <b/>
        <sz val="11"/>
        <color theme="1"/>
        <rFont val="Calibri"/>
        <family val="2"/>
        <scheme val="minor"/>
      </rPr>
      <t>EAC (Estimación a la Conclusión)</t>
    </r>
    <r>
      <rPr>
        <sz val="11"/>
        <color theme="1"/>
        <rFont val="Calibri"/>
        <family val="2"/>
        <scheme val="minor"/>
      </rPr>
      <t>: se proyecta que el costo total al finalizar el proyecto será de aproximadamente 261.24 soles, lo que supera el presupuesto original de 215 soles.</t>
    </r>
  </si>
  <si>
    <t>Ejercicio Valor Ganado</t>
  </si>
  <si>
    <r>
      <rPr>
        <b/>
        <u/>
        <sz val="11"/>
        <color theme="1"/>
        <rFont val="Calibri"/>
        <family val="2"/>
        <scheme val="minor"/>
      </rPr>
      <t>Costo presupuestado</t>
    </r>
    <r>
      <rPr>
        <b/>
        <sz val="11"/>
        <color theme="1"/>
        <rFont val="Calibri"/>
        <family val="2"/>
        <scheme val="minor"/>
      </rPr>
      <t xml:space="preserve"> (S/.)</t>
    </r>
  </si>
  <si>
    <r>
      <rPr>
        <b/>
        <u/>
        <sz val="11"/>
        <color theme="1"/>
        <rFont val="Calibri"/>
        <family val="2"/>
        <scheme val="minor"/>
      </rPr>
      <t>Costo real a la semana 3</t>
    </r>
    <r>
      <rPr>
        <b/>
        <sz val="11"/>
        <color theme="1"/>
        <rFont val="Calibri"/>
        <family val="2"/>
        <scheme val="minor"/>
      </rPr>
      <t xml:space="preserve"> (S/.)</t>
    </r>
  </si>
  <si>
    <r>
      <rPr>
        <b/>
        <u/>
        <sz val="11"/>
        <color theme="1"/>
        <rFont val="Calibri"/>
        <family val="2"/>
        <scheme val="minor"/>
      </rPr>
      <t>Valor devengado/ganado a la semana 3</t>
    </r>
    <r>
      <rPr>
        <b/>
        <sz val="11"/>
        <color theme="1"/>
        <rFont val="Calibri"/>
        <family val="2"/>
        <scheme val="minor"/>
      </rPr>
      <t xml:space="preserve"> (S/.)</t>
    </r>
  </si>
  <si>
    <r>
      <rPr>
        <b/>
        <sz val="11"/>
        <color theme="1"/>
        <rFont val="Calibri"/>
        <family val="2"/>
        <scheme val="minor"/>
      </rPr>
      <t>SPI (Índice de Rendimiento de Cronograma)</t>
    </r>
    <r>
      <rPr>
        <sz val="11"/>
        <color theme="1"/>
        <rFont val="Calibri"/>
        <family val="2"/>
        <scheme val="minor"/>
      </rPr>
      <t xml:space="preserve">: el proyecto </t>
    </r>
    <r>
      <rPr>
        <sz val="11"/>
        <color rgb="FFFF0000"/>
        <rFont val="Calibri"/>
        <family val="2"/>
        <scheme val="minor"/>
      </rPr>
      <t>está progresando al 93%</t>
    </r>
    <r>
      <rPr>
        <sz val="11"/>
        <color theme="1"/>
        <rFont val="Calibri"/>
        <family val="2"/>
        <scheme val="minor"/>
      </rPr>
      <t xml:space="preserve"> de la velocidad planificada. Esto significa que el proyecto está ligeramente retrasado.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</si>
</sst>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2" fontId="0" fillId="3" borderId="0" xfId="0" applyNumberForma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78F3-AB09-49E3-8F4B-D265F0953737}">
  <dimension ref="A1:O51"/>
  <sheetViews>
    <sheetView tabSelected="1" zoomScaleNormal="100" workbookViewId="0"/>
  </sheetViews>
  <sheetFormatPr baseColWidth="10" defaultRowHeight="15" x14ac:dyDescent="0.25"/>
  <cols>
    <col min="1" max="16384" width="11.42578125" style="11"/>
  </cols>
  <sheetData>
    <row r="1" spans="1:15" x14ac:dyDescent="0.25">
      <c r="A1" s="13" t="s">
        <v>15</v>
      </c>
    </row>
    <row r="3" spans="1:15" x14ac:dyDescent="0.25">
      <c r="A3" s="10" t="s">
        <v>16</v>
      </c>
    </row>
    <row r="4" spans="1:15" ht="15.75" thickBot="1" x14ac:dyDescent="0.3"/>
    <row r="5" spans="1:15" ht="15.75" thickBot="1" x14ac:dyDescent="0.3">
      <c r="A5" s="1" t="s">
        <v>0</v>
      </c>
      <c r="B5" s="2" t="s">
        <v>1</v>
      </c>
      <c r="C5" s="2" t="s">
        <v>2</v>
      </c>
      <c r="D5" s="14" t="s">
        <v>3</v>
      </c>
      <c r="E5" s="2" t="s">
        <v>4</v>
      </c>
      <c r="F5" s="2" t="s">
        <v>5</v>
      </c>
    </row>
    <row r="6" spans="1:15" ht="15.75" customHeight="1" thickBot="1" x14ac:dyDescent="0.3">
      <c r="A6" s="3">
        <v>1</v>
      </c>
      <c r="B6" s="4">
        <v>10</v>
      </c>
      <c r="C6" s="4">
        <v>20</v>
      </c>
      <c r="D6" s="15"/>
      <c r="E6" s="4"/>
      <c r="F6" s="4"/>
      <c r="H6" s="6" t="s">
        <v>7</v>
      </c>
      <c r="I6" s="6"/>
      <c r="J6" s="6"/>
      <c r="K6" s="6"/>
      <c r="L6" s="6"/>
      <c r="M6" s="6"/>
      <c r="N6" s="6"/>
      <c r="O6" s="7">
        <f>SUM(B6:F10)</f>
        <v>215</v>
      </c>
    </row>
    <row r="7" spans="1:15" ht="15.75" thickBot="1" x14ac:dyDescent="0.3">
      <c r="A7" s="3">
        <v>2</v>
      </c>
      <c r="B7" s="4"/>
      <c r="C7" s="4">
        <v>10</v>
      </c>
      <c r="D7" s="15">
        <v>30</v>
      </c>
      <c r="E7" s="4">
        <v>20</v>
      </c>
      <c r="F7" s="4"/>
      <c r="H7" s="6"/>
      <c r="I7" s="6"/>
      <c r="J7" s="6"/>
      <c r="K7" s="6"/>
      <c r="L7" s="6"/>
      <c r="M7" s="6"/>
      <c r="N7" s="6"/>
      <c r="O7" s="7"/>
    </row>
    <row r="8" spans="1:15" ht="15.75" thickBot="1" x14ac:dyDescent="0.3">
      <c r="A8" s="3">
        <v>3</v>
      </c>
      <c r="B8" s="4"/>
      <c r="C8" s="4"/>
      <c r="D8" s="15">
        <v>20</v>
      </c>
      <c r="E8" s="4">
        <v>20</v>
      </c>
      <c r="F8" s="4">
        <v>10</v>
      </c>
    </row>
    <row r="9" spans="1:15" ht="15.75" thickBot="1" x14ac:dyDescent="0.3">
      <c r="A9" s="3">
        <v>4</v>
      </c>
      <c r="B9" s="4"/>
      <c r="C9" s="4"/>
      <c r="D9" s="15">
        <v>10</v>
      </c>
      <c r="E9" s="4">
        <v>30</v>
      </c>
      <c r="F9" s="4">
        <v>5</v>
      </c>
      <c r="H9" s="6" t="s">
        <v>6</v>
      </c>
      <c r="I9" s="6"/>
      <c r="J9" s="6"/>
      <c r="K9" s="6"/>
      <c r="L9" s="6"/>
      <c r="M9" s="6"/>
      <c r="N9" s="6"/>
      <c r="O9" s="7">
        <f>SUM(B6:D10)</f>
        <v>100</v>
      </c>
    </row>
    <row r="10" spans="1:15" ht="15.75" thickBot="1" x14ac:dyDescent="0.3">
      <c r="A10" s="3">
        <v>5</v>
      </c>
      <c r="B10" s="4"/>
      <c r="C10" s="4"/>
      <c r="D10" s="15"/>
      <c r="E10" s="4">
        <v>10</v>
      </c>
      <c r="F10" s="4">
        <v>20</v>
      </c>
      <c r="H10" s="6"/>
      <c r="I10" s="6"/>
      <c r="J10" s="6"/>
      <c r="K10" s="6"/>
      <c r="L10" s="6"/>
      <c r="M10" s="6"/>
      <c r="N10" s="6"/>
      <c r="O10" s="7"/>
    </row>
    <row r="13" spans="1:15" x14ac:dyDescent="0.25">
      <c r="A13" s="10" t="s">
        <v>17</v>
      </c>
    </row>
    <row r="14" spans="1:15" ht="15.75" thickBot="1" x14ac:dyDescent="0.3"/>
    <row r="15" spans="1:15" ht="15.75" thickBot="1" x14ac:dyDescent="0.3">
      <c r="A15" s="1" t="s">
        <v>0</v>
      </c>
      <c r="B15" s="2" t="s">
        <v>1</v>
      </c>
      <c r="C15" s="2" t="s">
        <v>2</v>
      </c>
      <c r="D15" s="14" t="s">
        <v>3</v>
      </c>
      <c r="E15" s="2" t="s">
        <v>4</v>
      </c>
      <c r="F15" s="2" t="s">
        <v>5</v>
      </c>
    </row>
    <row r="16" spans="1:15" ht="15.75" thickBot="1" x14ac:dyDescent="0.3">
      <c r="A16" s="3">
        <v>1</v>
      </c>
      <c r="B16" s="4">
        <v>10</v>
      </c>
      <c r="C16" s="4">
        <v>15</v>
      </c>
      <c r="D16" s="15">
        <v>10</v>
      </c>
      <c r="E16" s="4"/>
      <c r="F16" s="5"/>
      <c r="H16" s="6" t="s">
        <v>8</v>
      </c>
      <c r="I16" s="6"/>
      <c r="J16" s="6"/>
      <c r="K16" s="6"/>
      <c r="L16" s="6"/>
      <c r="M16" s="6"/>
      <c r="N16" s="6"/>
      <c r="O16" s="7">
        <f>SUM(B16:D20)</f>
        <v>113</v>
      </c>
    </row>
    <row r="17" spans="1:15" ht="15.75" thickBot="1" x14ac:dyDescent="0.3">
      <c r="A17" s="3">
        <v>2</v>
      </c>
      <c r="B17" s="4"/>
      <c r="C17" s="4">
        <v>15</v>
      </c>
      <c r="D17" s="15">
        <v>30</v>
      </c>
      <c r="E17" s="4"/>
      <c r="F17" s="5"/>
      <c r="H17" s="6"/>
      <c r="I17" s="6"/>
      <c r="J17" s="6"/>
      <c r="K17" s="6"/>
      <c r="L17" s="6"/>
      <c r="M17" s="6"/>
      <c r="N17" s="6"/>
      <c r="O17" s="7"/>
    </row>
    <row r="18" spans="1:15" ht="15.75" thickBot="1" x14ac:dyDescent="0.3">
      <c r="A18" s="3">
        <v>3</v>
      </c>
      <c r="B18" s="4"/>
      <c r="C18" s="4"/>
      <c r="D18" s="15">
        <v>25</v>
      </c>
      <c r="E18" s="4"/>
      <c r="F18" s="5"/>
    </row>
    <row r="19" spans="1:15" ht="15.75" thickBot="1" x14ac:dyDescent="0.3">
      <c r="A19" s="3">
        <v>4</v>
      </c>
      <c r="B19" s="4"/>
      <c r="C19" s="4"/>
      <c r="D19" s="15">
        <v>8</v>
      </c>
      <c r="E19" s="4"/>
      <c r="F19" s="5"/>
    </row>
    <row r="20" spans="1:15" ht="15.75" thickBot="1" x14ac:dyDescent="0.3">
      <c r="A20" s="3">
        <v>5</v>
      </c>
      <c r="B20" s="4"/>
      <c r="C20" s="4"/>
      <c r="D20" s="15"/>
      <c r="E20" s="4"/>
      <c r="F20" s="5"/>
    </row>
    <row r="23" spans="1:15" x14ac:dyDescent="0.25">
      <c r="A23" s="10" t="s">
        <v>18</v>
      </c>
    </row>
    <row r="24" spans="1:15" ht="15.75" thickBot="1" x14ac:dyDescent="0.3"/>
    <row r="25" spans="1:15" ht="15.75" thickBot="1" x14ac:dyDescent="0.3">
      <c r="A25" s="1" t="s">
        <v>0</v>
      </c>
      <c r="B25" s="2" t="s">
        <v>1</v>
      </c>
      <c r="C25" s="2" t="s">
        <v>2</v>
      </c>
      <c r="D25" s="14" t="s">
        <v>3</v>
      </c>
      <c r="E25" s="2" t="s">
        <v>4</v>
      </c>
      <c r="F25" s="2" t="s">
        <v>5</v>
      </c>
    </row>
    <row r="26" spans="1:15" ht="15.75" thickBot="1" x14ac:dyDescent="0.3">
      <c r="A26" s="3">
        <v>1</v>
      </c>
      <c r="B26" s="4">
        <v>10</v>
      </c>
      <c r="C26" s="4">
        <v>12</v>
      </c>
      <c r="D26" s="15">
        <v>8</v>
      </c>
      <c r="E26" s="5"/>
      <c r="F26" s="5"/>
      <c r="H26" s="6" t="s">
        <v>9</v>
      </c>
      <c r="I26" s="6"/>
      <c r="J26" s="6"/>
      <c r="K26" s="6"/>
      <c r="L26" s="6"/>
      <c r="M26" s="6"/>
      <c r="N26" s="6"/>
      <c r="O26" s="8">
        <f>SUM(B26:D30)</f>
        <v>93</v>
      </c>
    </row>
    <row r="27" spans="1:15" ht="15.75" thickBot="1" x14ac:dyDescent="0.3">
      <c r="A27" s="3">
        <v>2</v>
      </c>
      <c r="B27" s="4"/>
      <c r="C27" s="4">
        <v>10</v>
      </c>
      <c r="D27" s="15">
        <v>30</v>
      </c>
      <c r="E27" s="5"/>
      <c r="F27" s="5"/>
      <c r="H27" s="6"/>
      <c r="I27" s="6"/>
      <c r="J27" s="6"/>
      <c r="K27" s="6"/>
      <c r="L27" s="6"/>
      <c r="M27" s="6"/>
      <c r="N27" s="6"/>
      <c r="O27" s="8"/>
    </row>
    <row r="28" spans="1:15" ht="15.75" thickBot="1" x14ac:dyDescent="0.3">
      <c r="A28" s="3">
        <v>3</v>
      </c>
      <c r="B28" s="4"/>
      <c r="C28" s="4"/>
      <c r="D28" s="15">
        <v>18</v>
      </c>
      <c r="E28" s="5"/>
      <c r="F28" s="5"/>
    </row>
    <row r="29" spans="1:15" ht="15.75" thickBot="1" x14ac:dyDescent="0.3">
      <c r="A29" s="3">
        <v>4</v>
      </c>
      <c r="B29" s="4"/>
      <c r="C29" s="4"/>
      <c r="D29" s="15">
        <v>5</v>
      </c>
      <c r="E29" s="5"/>
      <c r="F29" s="5"/>
    </row>
    <row r="30" spans="1:15" ht="15.75" thickBot="1" x14ac:dyDescent="0.3">
      <c r="A30" s="3">
        <v>5</v>
      </c>
      <c r="B30" s="4"/>
      <c r="C30" s="4"/>
      <c r="D30" s="15"/>
      <c r="E30" s="5"/>
      <c r="F30" s="5"/>
    </row>
    <row r="32" spans="1:15" x14ac:dyDescent="0.25">
      <c r="H32" s="11" t="s">
        <v>10</v>
      </c>
    </row>
    <row r="34" spans="8:15" x14ac:dyDescent="0.25">
      <c r="H34" s="6" t="s">
        <v>11</v>
      </c>
      <c r="I34" s="6"/>
      <c r="J34" s="6"/>
      <c r="K34" s="6"/>
      <c r="L34" s="6"/>
      <c r="M34" s="6"/>
      <c r="N34" s="6"/>
      <c r="O34" s="9">
        <f>O26/O16</f>
        <v>0.82300884955752207</v>
      </c>
    </row>
    <row r="35" spans="8:15" x14ac:dyDescent="0.25">
      <c r="H35" s="6"/>
      <c r="I35" s="6"/>
      <c r="J35" s="6"/>
      <c r="K35" s="6"/>
      <c r="L35" s="6"/>
      <c r="M35" s="6"/>
      <c r="N35" s="6"/>
      <c r="O35" s="9"/>
    </row>
    <row r="38" spans="8:15" x14ac:dyDescent="0.25">
      <c r="H38" s="6" t="s">
        <v>19</v>
      </c>
      <c r="I38" s="6"/>
      <c r="J38" s="6"/>
      <c r="K38" s="6"/>
      <c r="L38" s="6"/>
      <c r="M38" s="6"/>
      <c r="N38" s="6"/>
      <c r="O38" s="12">
        <f>O26/O9</f>
        <v>0.93</v>
      </c>
    </row>
    <row r="39" spans="8:15" x14ac:dyDescent="0.25">
      <c r="H39" s="6"/>
      <c r="I39" s="6"/>
      <c r="J39" s="6"/>
      <c r="K39" s="6"/>
      <c r="L39" s="6"/>
      <c r="M39" s="6"/>
      <c r="N39" s="6"/>
      <c r="O39" s="12"/>
    </row>
    <row r="42" spans="8:15" x14ac:dyDescent="0.25">
      <c r="H42" s="6" t="s">
        <v>12</v>
      </c>
      <c r="I42" s="6"/>
      <c r="J42" s="6"/>
      <c r="K42" s="6"/>
      <c r="L42" s="6"/>
      <c r="M42" s="6"/>
      <c r="N42" s="6"/>
      <c r="O42" s="12">
        <f>O26-O16</f>
        <v>-20</v>
      </c>
    </row>
    <row r="43" spans="8:15" x14ac:dyDescent="0.25">
      <c r="H43" s="6"/>
      <c r="I43" s="6"/>
      <c r="J43" s="6"/>
      <c r="K43" s="6"/>
      <c r="L43" s="6"/>
      <c r="M43" s="6"/>
      <c r="N43" s="6"/>
      <c r="O43" s="12"/>
    </row>
    <row r="46" spans="8:15" x14ac:dyDescent="0.25">
      <c r="H46" s="6" t="s">
        <v>13</v>
      </c>
      <c r="I46" s="6"/>
      <c r="J46" s="6"/>
      <c r="K46" s="6"/>
      <c r="L46" s="6"/>
      <c r="M46" s="6"/>
      <c r="N46" s="6"/>
      <c r="O46" s="12">
        <f>O26-O9</f>
        <v>-7</v>
      </c>
    </row>
    <row r="47" spans="8:15" x14ac:dyDescent="0.25">
      <c r="H47" s="6"/>
      <c r="I47" s="6"/>
      <c r="J47" s="6"/>
      <c r="K47" s="6"/>
      <c r="L47" s="6"/>
      <c r="M47" s="6"/>
      <c r="N47" s="6"/>
      <c r="O47" s="12"/>
    </row>
    <row r="50" spans="8:15" x14ac:dyDescent="0.25">
      <c r="H50" s="6" t="s">
        <v>14</v>
      </c>
      <c r="I50" s="6"/>
      <c r="J50" s="6"/>
      <c r="K50" s="6"/>
      <c r="L50" s="6"/>
      <c r="M50" s="6"/>
      <c r="N50" s="6"/>
      <c r="O50" s="9">
        <f>O6/O34</f>
        <v>261.23655913978496</v>
      </c>
    </row>
    <row r="51" spans="8:15" x14ac:dyDescent="0.25">
      <c r="H51" s="6"/>
      <c r="I51" s="6"/>
      <c r="J51" s="6"/>
      <c r="K51" s="6"/>
      <c r="L51" s="6"/>
      <c r="M51" s="6"/>
      <c r="N51" s="6"/>
      <c r="O51" s="9"/>
    </row>
  </sheetData>
  <mergeCells count="18">
    <mergeCell ref="H46:N47"/>
    <mergeCell ref="O46:O47"/>
    <mergeCell ref="H50:N51"/>
    <mergeCell ref="O50:O51"/>
    <mergeCell ref="H34:N35"/>
    <mergeCell ref="O34:O35"/>
    <mergeCell ref="H38:N39"/>
    <mergeCell ref="O38:O39"/>
    <mergeCell ref="H42:N43"/>
    <mergeCell ref="O42:O43"/>
    <mergeCell ref="H6:N7"/>
    <mergeCell ref="O6:O7"/>
    <mergeCell ref="H9:N10"/>
    <mergeCell ref="O9:O10"/>
    <mergeCell ref="H16:N17"/>
    <mergeCell ref="O16:O17"/>
    <mergeCell ref="H26:N27"/>
    <mergeCell ref="O26:O2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</dc:creator>
  <cp:lastModifiedBy>Pierre</cp:lastModifiedBy>
  <dcterms:created xsi:type="dcterms:W3CDTF">2024-06-30T14:05:18Z</dcterms:created>
  <dcterms:modified xsi:type="dcterms:W3CDTF">2024-06-30T22:47:08Z</dcterms:modified>
</cp:coreProperties>
</file>