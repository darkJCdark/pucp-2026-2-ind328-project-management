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vo" sheetId="1" r:id="rId5"/>
    <sheet state="hidden" name="Calendario" sheetId="2" r:id="rId6"/>
    <sheet state="hidden" name="Cronograma General" sheetId="3" r:id="rId7"/>
    <sheet state="hidden" name="Notas y criterios" sheetId="4" r:id="rId8"/>
  </sheets>
  <definedNames>
    <definedName name="FIN_PROY">Calendario!$B$4</definedName>
    <definedName name="FERIADOS">Calendario!$F$8:$F$37</definedName>
    <definedName name="FECHA_ESTADO">Calendario!$B$5</definedName>
    <definedName name="FECHAS">Calendario!$A$8:$A$396</definedName>
    <definedName name="NLAB">Calendario!$D$8:$D$396</definedName>
    <definedName hidden="1" localSheetId="0" name="_xlnm._FilterDatabase">Predictivo!$A$6:$N$354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tc={067826ef-fbfa-40c1-b178-3b1484e20390}</author>
    <author>tc={0b26021a-6c9a-40ff-8dac-4567b516c601}</author>
    <author>tc={239f4ce2-4c67-4711-957e-404f9c50f86b}</author>
    <author>tc={25649589-911d-4948-a020-85ba85fe4271}</author>
    <author>tc={491f563f-afd4-4607-ab84-d0c3535d1f0a}</author>
    <author>tc={4bebb543-d194-4686-81f0-17c3d65cbfd0}</author>
    <author>tc={599f8e85-5690-4837-a799-47ccb32dec10}</author>
    <author>tc={74b4eda7-cdd0-4b2e-85ad-fe96de232603}</author>
  </authors>
  <commentList>
    <comment authorId="0" xr:uid="{067826ef-fbfa-40c1-b178-3b1484e20390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Días laborables que la tarea puede retrasarse sin mover el inicio de su sucesora ni superar la fecha tope del hito del Acta que alimenta. En filas de hito: holgura frente a la fecha tope del Acta. Valor negativo = conflicto (se resalta en rojo).
</t>
      </text>
    </comment>
    <comment authorId="1" xr:uid="{0b26021a-6c9a-40ff-8dac-4567b516c601}" ref="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Relación fin-inicio (FI) por defecto. 'FI+nd' indica un retraso de n días laborables. Las actividades de preparación inmediata (convocatoria, inducción, trámites, pruebas técnicas) se programan 'lo más tarde posible' contando días laborables hacia atrás desde la fecha fija del evento.
Reply:
	Marcado como resuelto
Reply:
	Reabierto
Reply:
	Marcado como resuelto
Reply:
	Reabierto
</t>
      </text>
    </comment>
    <comment authorId="2" xr:uid="{239f4ce2-4c67-4711-957e-404f9c50f86b}" ref="E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Evento continuo de 24 h: sábado 31/07 a domingo 01/08 (2 días calendario). La fecha de fin se calcula como inicio + 1 día calendario.
Reply:
	Marcado como resuelto
Reply:
	Reabierto
</t>
      </text>
    </comment>
    <comment authorId="3" xr:uid="{25649589-911d-4948-a020-85ba85fe4271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Holgura total de la línea base calculada con el método de la ruta crítica (pasada hacia adelante y hacia atrás), considerando las fechas fijas y las fechas tope de los hitos del Acta. Recalcular si se modifica la red.
</t>
      </text>
    </comment>
    <comment authorId="4" xr:uid="{491f563f-afd4-4607-ab84-d0c3535d1f0a}" ref="E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Evento continuo de 24 h: sábado 31/07 a domingo 01/08 (2 días calendario). La fecha de fin se calcula como inicio + 1 día calendario.
</t>
      </text>
    </comment>
    <comment authorId="5" xr:uid="{4bebb543-d194-4686-81f0-17c3d65cbfd0}" ref="L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Días laborables que la tarea puede retrasarse sin mover el inicio de su sucesora ni superar la fecha tope del hito del Acta que alimenta. En filas de hito: holgura frente a la fecha tope del Acta. Valor negativo = conflicto (se resalta en rojo).
Reply:
	Marcado como resuelto
Reply:
	Reabierto
Reply:
	Marcado como resuelto
Reply:
	Reabierto
</t>
      </text>
    </comment>
    <comment authorId="6" xr:uid="{599f8e85-5690-4837-a799-47ccb32dec10}" ref="F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Negrita azul = fecha fija (evento, sesión, reunión de aprobación o presentación comprometida en el Acta). Azul normal = fecha 'no antes de' (ventana planificada). Negro = calculada por fórmula a partir de las predecesoras.
Reply:
	Marcado como resuelto
Reply:
	Reabierto
Reply:
	Marcado como resuelto
</t>
      </text>
    </comment>
    <comment authorId="7" xr:uid="{74b4eda7-cdd0-4b2e-85ad-fe96de232603}" ref="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Holgura total de la línea base calculada con el método de la ruta crítica (pasada hacia adelante y hacia atrás), considerando las fechas fijas y las fechas tope de los hitos del Acta. Recalcular si se modifica la red.
Reply:
	Marcado como resuelto
Reply:
	Reabierto
</t>
      </text>
    </comment>
  </commentList>
</comments>
</file>

<file path=xl/sharedStrings.xml><?xml version="1.0" encoding="utf-8"?>
<sst xmlns="http://schemas.openxmlformats.org/spreadsheetml/2006/main" count="1746" uniqueCount="871">
  <si>
    <t>Calendario laboral del proyecto (lunes a sábado; domingos y feriados nacionales no laborables)</t>
  </si>
  <si>
    <t>Cronograma General – DSC PUCP Workshops (se actualiza automáticamente desde la hoja Predictivo)</t>
  </si>
  <si>
    <t>CRONOGRAMA DETALLADO – DSC PUCP WORKSHOPS</t>
  </si>
  <si>
    <t>Inicio del proyecto</t>
  </si>
  <si>
    <t>CRITERIOS DE PROGRAMACIÓN Y LECTURA DEL CRONOGRAMA</t>
  </si>
  <si>
    <t>Las filas de ejecución muestran la ventana de realización de cada evento (sesiones o día del evento y su consolidación); su preparación figura en la fila 'Preparación transversal de eventos'.</t>
  </si>
  <si>
    <t>Developer Student Club PUCP  ·  Gerente de Proyecto: Lucas Mattias Alvites Galarza  ·  Elaborado por: Equipo 5  ·  Línea base v1.0 (alineada al Acta de Constitución y a la EDT validadas)  ·  Calendario: lun–sáb sin feriados</t>
  </si>
  <si>
    <t>Fin del proyecto (acta de cierre)</t>
  </si>
  <si>
    <t>Fecha de estado (corte del avance)</t>
  </si>
  <si>
    <t>Componente / Fase (EDT)</t>
  </si>
  <si>
    <t>1. Base del cronograma: Acta de Constitución (14/09/2026) y EDT validada por el docente (19/09/2026). Cada entregable de la EDT (columna ENTREGABLE) se descompone en actividades (columna NOMBRE DE LA TAREA) con los campos mínimos vistos en clase: ID, duración, fechas de inicio y fin, predecesoras, recursos, estado y % de avance.</t>
  </si>
  <si>
    <t>Fecha Inicio</t>
  </si>
  <si>
    <t>Fecha Fin</t>
  </si>
  <si>
    <t>Días lab.</t>
  </si>
  <si>
    <t>Hito asociado (Acta)</t>
  </si>
  <si>
    <t>1. Inicio</t>
  </si>
  <si>
    <t>← actualizar en cada reunión semanal de seguimiento</t>
  </si>
  <si>
    <t>2. Codificación: el ID de cada actividad hereda el código de su paquete de la EDT (p. ej., 3.3.2.3 es la tercera actividad del paquete 3.3.2). Los hitos del Acta se identifican como H01–H21 y se listan al inicio con su fecha tope.</t>
  </si>
  <si>
    <t>3. Calendario: días laborables de lunes a sábado (los talleres y eventos se realizan jueves y sábados), excluyendo domingos y feriados nacionales 2026-2027 (hoja Calendario). La duración está en días laborables. Excepción: la Hackathon de 24 h (sábado 31/07 a domingo 01/08) se registra con 2 días calendario.</t>
  </si>
  <si>
    <t>4. Tipos de fecha: negrita azul = fecha fija comprometida (sesiones, eventos, reuniones de aprobación y presentaciones de reportes del Acta); azul normal = fecha 'no antes de' (ventanas planificadas, p. ej. reservas de enero); negro = fecha calculada por fórmula a partir de predecesoras o, para la preparación inmediata de un evento, contando días laborables hacia atrás desde su fecha fija (programación 'lo más tarde posible').</t>
  </si>
  <si>
    <t>5. Dependencias: se usa la relación fin-inicio (FI), la más común (Sesión 5). La notación 'FI+nd' indica un retraso de n días. Se combinan dependencias obligatorias (p. ej., sílabos antes de la sesión), discrecionales (p. ej., retrospectiva al cierre del módulo) y externas (DAES: 7 días hábiles; Pabellón V: 2 días hábiles; NTT Data; proveedor de merchandising).</t>
  </si>
  <si>
    <t>6. Estimación: juicio experto y estimación análoga con base en eventos previos de DSC PUCP; los trámites se estiman con los plazos oficiales de la PUCP. Se aplican reservas de contingencia (análisis de reservas): p. ej., 3 días entre la revisión del Plan y su aprobación, 4 días entre la prueba técnica y cada evento, y solicitudes a la DAES con 14 días laborables de anticipación (el doble del plazo mínimo, respuesta R5).</t>
  </si>
  <si>
    <t>7. Ruta crítica: se calculó con el método de la ruta crítica (pasada hacia adelante y hacia atrás, Sesión 6) considerando las fechas fijas y las fechas tope de los hitos del Acta. Son críticas (holgura total = 0): las sesiones y eventos con fecha fija; la cadena de patrocinios brochure → negociación → firma → go/no-go (22/01/2027); la reserva de NTT Data y el plan de seguridad (E2, 15/01/2027); la confirmación de expertos y bases del evento de 24 h (E4, 05/02/2027); y la cadena final evento de 24 h → consolidación → Reporte N.° 5 → informe final → acta de cierre (20/08/2027).</t>
  </si>
  <si>
    <t>8. Holguras: la columna HOLGURA LIBRE es dinámica (fórmula): si una fecha cambia y se genera un conflicto, aparece en negativo y en rojo. La columna HOLGURA TOTAL es el resultado del análisis CPM de la línea base y debe recalcularse si se modifica la red de actividades.</t>
  </si>
  <si>
    <t>9. Nivelación de recursos: las confirmaciones de ponentes (Relaciones Exteriores) se adelantaron a noviembre y diciembre de 2026 para no coincidir con el cierre de patrocinios de enero; las inducciones de voluntarios y las pruebas técnicas se ubicaron en días sin sesiones para no sobrecargar a Logística; el Taller de pitch pasa al miércoles 24/03 por Jueves Santo (respuesta R4).</t>
  </si>
  <si>
    <t>10. Seguimiento: actualizar la FECHA DE ESTADO (hoja Calendario) y el % DE AVANCE en cada reunión semanal. El ESTADO se calcula solo: Completado, En progreso, No iniciado o Atrasado (fin planificado anterior a la fecha de estado sin 100 %). Los hitos muestran Cumplido, Pendiente, En riesgo (fecha prevista posterior a la fecha tope) o Atrasado.</t>
  </si>
  <si>
    <t>11. Esfuerzo continuo: actividades de nivel de esfuerzo (reunión semanal, control de cambios, seguimiento de desembolsos, difusión continua, control de merchandising y confirmación de ponentes) se muestran en gris y no forman parte del cálculo de la ruta crítica.</t>
  </si>
  <si>
    <t>12. Alineamiento con el Acta: la Web oficial y la campaña (E5) se programan dentro de 3.2 Publicidad y difusión; la reserva de espacios (E2) dentro de los paquetes x.2 'Registro de recursos' de cada evento; el programa académico (E4) en los paquetes de sílabos, bases y recursos; los cinco reportes de seguimiento (E11) agrupan los siete informes de control 4.3.1–4.3.7.</t>
  </si>
  <si>
    <t>Puntos para validar con el Patrocinador: (a) el calendario académico 2027-1 (actividad 4.1.2, diciembre 2026, riesgo R3); (b) la apertura del campus el Sábado de Gloria 27/03/2027 (actividad 3.6.2.4); (c) el feriado del 23/07/2027 (Día de la Fuerza Aérea), no listado en el Acta, que se incorporó al calendario.</t>
  </si>
  <si>
    <t>FECHA</t>
  </si>
  <si>
    <t>DÍA</t>
  </si>
  <si>
    <t>LABORABLE (1 = sí)</t>
  </si>
  <si>
    <t>N.° DÍA LABORABLE</t>
  </si>
  <si>
    <t>SET 2026</t>
  </si>
  <si>
    <t>FERIADO</t>
  </si>
  <si>
    <t>DESCRIPCIÓN</t>
  </si>
  <si>
    <t>OCT 2026</t>
  </si>
  <si>
    <t>NOV 2026</t>
  </si>
  <si>
    <t>DIC 2026</t>
  </si>
  <si>
    <t>ENE 2027</t>
  </si>
  <si>
    <t>FEB 2027</t>
  </si>
  <si>
    <t>Combate de Angamos</t>
  </si>
  <si>
    <t>MAR 2027</t>
  </si>
  <si>
    <t>ABR 2027</t>
  </si>
  <si>
    <t>MAY 2027</t>
  </si>
  <si>
    <t>JUN 2027</t>
  </si>
  <si>
    <t>Día de Todos los Santos</t>
  </si>
  <si>
    <t>JUL 2027</t>
  </si>
  <si>
    <t>AGO 2027</t>
  </si>
  <si>
    <t>Inmaculada Concepción</t>
  </si>
  <si>
    <t>Leyenda del Gantt:</t>
  </si>
  <si>
    <t>2. Planificación</t>
  </si>
  <si>
    <t>Actividad de la ruta crítica</t>
  </si>
  <si>
    <t>Batalla de Ayacucho</t>
  </si>
  <si>
    <t>Actividad</t>
  </si>
  <si>
    <t>Navidad</t>
  </si>
  <si>
    <t>Esfuerzo continuo</t>
  </si>
  <si>
    <t xml:space="preserve"> Hito del Acta (Barras oscuras = resumen)</t>
  </si>
  <si>
    <t>Dato editable</t>
  </si>
  <si>
    <t>Año Nuevo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</si>
  <si>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</si>
  <si>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</si>
  <si>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</si>
  <si>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</si>
  <si>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</si>
  <si>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</si>
  <si>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</si>
  <si>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</si>
  <si>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</si>
  <si>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</si>
  <si>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</si>
  <si>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</si>
  <si>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</si>
  <si>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Jueves Santo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</si>
  <si>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</si>
  <si>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</si>
  <si>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</si>
  <si>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</si>
  <si>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</si>
  <si>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</si>
  <si>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</si>
  <si>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</si>
  <si>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</si>
  <si>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</si>
  <si>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</si>
  <si>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</si>
  <si>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</si>
  <si>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</si>
  <si>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</si>
  <si>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</si>
  <si>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</si>
  <si>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</si>
  <si>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Viernes Santo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</si>
  <si>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</si>
  <si>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</si>
  <si>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</si>
  <si>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</si>
  <si>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</si>
  <si>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</si>
  <si>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</si>
  <si>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</si>
  <si>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</si>
  <si>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</si>
  <si>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</si>
  <si>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</si>
  <si>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</si>
  <si>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</si>
  <si>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Día del Trabajo</t>
  </si>
  <si>
    <t>S46</t>
  </si>
  <si>
    <t>S47</t>
  </si>
  <si>
    <t>S48</t>
  </si>
  <si>
    <t>3.1 Patrocinios y adquisiciones</t>
  </si>
  <si>
    <t>S49</t>
  </si>
  <si>
    <t>S50</t>
  </si>
  <si>
    <t>Semana (lunes) →</t>
  </si>
  <si>
    <t>Batalla de Arica y Día de la Bandera</t>
  </si>
  <si>
    <t>San Pedro y San Pablo</t>
  </si>
  <si>
    <t>Día de la Fuerza Aérea del Perú</t>
  </si>
  <si>
    <t>Fiestas Patrias</t>
  </si>
  <si>
    <t>Batalla de Junín</t>
  </si>
  <si>
    <t>3.2 Publicidad y difusión (incluye web oficial)</t>
  </si>
  <si>
    <t>Santa Rosa de Lima</t>
  </si>
  <si>
    <t>FASE</t>
  </si>
  <si>
    <t>ID</t>
  </si>
  <si>
    <t>ENTREGABLE</t>
  </si>
  <si>
    <t>NOMBRE DE LA TAREA</t>
  </si>
  <si>
    <t>DURACIÓN (DÍAS)</t>
  </si>
  <si>
    <t>FECHA DE INICIO</t>
  </si>
  <si>
    <t>FECHA DE FIN</t>
  </si>
  <si>
    <t>PREDECESORAS</t>
  </si>
  <si>
    <t>RECURSOS ASIGNADOS</t>
  </si>
  <si>
    <t>ESTADO</t>
  </si>
  <si>
    <t>% DE AVANCE</t>
  </si>
  <si>
    <t>HOLGURA LIBRE (días)</t>
  </si>
  <si>
    <t>HOLGURA TOTAL (días)</t>
  </si>
  <si>
    <t>RUTA CRÍTICA</t>
  </si>
  <si>
    <t>Hitos</t>
  </si>
  <si>
    <t>3.3 – 3.9 Preparación transversal de eventos (reservas, expertos, sílabos y bases)</t>
  </si>
  <si>
    <t>0</t>
  </si>
  <si>
    <t>HITOS DEL PROYECTO (ACTA DE CONSTITUCIÓN)</t>
  </si>
  <si>
    <t>Agregar feriados o días no laborables adicionales (p. ej., cierre de campus) en las filas en blanco de la lista; el cronograma se recalcula solo.</t>
  </si>
  <si>
    <t>Inicio</t>
  </si>
  <si>
    <t>H01</t>
  </si>
  <si>
    <t>Acta · fecha tope Acta: 14/09/2026</t>
  </si>
  <si>
    <t xml:space="preserve"> Acta de Constitución aprobada y Gerente de Proyecto designado</t>
  </si>
  <si>
    <t>1.1.1</t>
  </si>
  <si>
    <t>3.3 Primera Ronda de Talleres – Módulo I</t>
  </si>
  <si>
    <t>Hito de control (duración 0)</t>
  </si>
  <si>
    <t>-</t>
  </si>
  <si>
    <t>Hito</t>
  </si>
  <si>
    <t>3.6 Hackathon "Kachimbo"</t>
  </si>
  <si>
    <t>3.4 Segunda Ronda de Talleres – Módulo II</t>
  </si>
  <si>
    <t>—</t>
  </si>
  <si>
    <t>3.7 Competencia de Kaggle</t>
  </si>
  <si>
    <t>H02</t>
  </si>
  <si>
    <t>Insumo E1 · fecha tope Acta: 21/09/2026</t>
  </si>
  <si>
    <t xml:space="preserve"> Reunión de lanzamiento (kick-off) y responsables por área asignados</t>
  </si>
  <si>
    <t>1.4.2</t>
  </si>
  <si>
    <t>3.8 Torneo de Vibecoding (8 h)</t>
  </si>
  <si>
    <t>3.5 Tercera Ronda de Talleres – Módulo III (GCP)</t>
  </si>
  <si>
    <t>Planificación</t>
  </si>
  <si>
    <t>H03</t>
  </si>
  <si>
    <t>E1 · fecha tope Acta: 30/10/2026</t>
  </si>
  <si>
    <t xml:space="preserve"> Plan para la Dirección del Proyecto aprobado</t>
  </si>
  <si>
    <t>3.9 Hackathon Internacional de 24 h</t>
  </si>
  <si>
    <t>2.1.3</t>
  </si>
  <si>
    <t>4. Seguimiento y control (informes por evento y reportes)</t>
  </si>
  <si>
    <t>H04</t>
  </si>
  <si>
    <t>E3 · fecha tope Acta: 06/11/2026</t>
  </si>
  <si>
    <t xml:space="preserve"> Inicio formal de la gestión de auspicios (brochure enviado)</t>
  </si>
  <si>
    <t>3.1.1.2</t>
  </si>
  <si>
    <t>5. Cierre</t>
  </si>
  <si>
    <t>H05</t>
  </si>
  <si>
    <t>E2 · fecha tope Acta: 15/01/2027</t>
  </si>
  <si>
    <t xml:space="preserve"> Espacios y permisos confirmados (sede alternativa por evento)</t>
  </si>
  <si>
    <t>3.3.2.1, 3.4.2.1, 3.5.2.1, 3.6.2.1, 3.7.2.1, 3.8.2.1, 3.9.2.1, 3.9.2.2</t>
  </si>
  <si>
    <t>H06</t>
  </si>
  <si>
    <t>E3 · fecha tope Acta: 22/01/2027</t>
  </si>
  <si>
    <t xml:space="preserve"> Acuerdos de patrocinio firmados – decisión go/no-go financiera</t>
  </si>
  <si>
    <t>3.1.1.6</t>
  </si>
  <si>
    <t>H07</t>
  </si>
  <si>
    <t>E4 · fecha tope Acta: 05/02/2027</t>
  </si>
  <si>
    <t xml:space="preserve"> Programa académico, ponentes, mentores y jurados confirmados</t>
  </si>
  <si>
    <t>3.3.2.2, 3.4.2.2, 3.5.2.2, 3.3.4.2, 3.4.4.2, 3.5.4.2, 3.6.2.2, 3.6.3.2, 3.7.2.2, 3.7.4.3, 3.8.2.2, 3.8.3.2, 3.9.2.3, 3.9.4.3</t>
  </si>
  <si>
    <t>H08</t>
  </si>
  <si>
    <t>E5 · fecha tope Acta: 15/02/2027</t>
  </si>
  <si>
    <t xml:space="preserve"> Web en producción, lanzamiento de campaña e inscripciones abiertas</t>
  </si>
  <si>
    <t>3.2.1.5</t>
  </si>
  <si>
    <t>Ejecución</t>
  </si>
  <si>
    <t>H09</t>
  </si>
  <si>
    <t>E6 · fecha tope Acta: 04/03/2027</t>
  </si>
  <si>
    <t xml:space="preserve"> Inicio del Módulo I (primer taller)</t>
  </si>
  <si>
    <t>3.3.5.1</t>
  </si>
  <si>
    <t>H10</t>
  </si>
  <si>
    <t>E6 · fecha tope Acta: 27/03/2027</t>
  </si>
  <si>
    <t xml:space="preserve"> Hackathon Kachimbo – cierre del Módulo I</t>
  </si>
  <si>
    <t>3.6.5.1</t>
  </si>
  <si>
    <t>H11</t>
  </si>
  <si>
    <t>E7 · fecha tope Acta: 01/04/2027</t>
  </si>
  <si>
    <t>Inicio del Módulo II (segundo taller)</t>
  </si>
  <si>
    <t>3.4.5.1</t>
  </si>
  <si>
    <t>H12</t>
  </si>
  <si>
    <t>E7 · fecha tope Acta: 24/04/2027</t>
  </si>
  <si>
    <t xml:space="preserve"> Competencia de Kaggle – cierre del Módulo II</t>
  </si>
  <si>
    <t>3.7.6.2</t>
  </si>
  <si>
    <t>H13</t>
  </si>
  <si>
    <t>E8 · fecha tope Acta: 29/05/2027</t>
  </si>
  <si>
    <t xml:space="preserve"> Hackathon de 8 h "Torneo de Vibecoding" realizado</t>
  </si>
  <si>
    <t>3.8.5.1</t>
  </si>
  <si>
    <t>H14</t>
  </si>
  <si>
    <t>E9 · fecha tope Acta: 26/06/2027</t>
  </si>
  <si>
    <t xml:space="preserve"> Premiación GCP – cierre del Módulo III</t>
  </si>
  <si>
    <t>3.5.5.8</t>
  </si>
  <si>
    <t>H15</t>
  </si>
  <si>
    <t>E10 · fecha tope Acta: 01/08/2027</t>
  </si>
  <si>
    <t xml:space="preserve"> Hackathon Internacional de 24 h realizado (evento cumbre)</t>
  </si>
  <si>
    <t>3.9.6.1</t>
  </si>
  <si>
    <t>Seguimiento y control</t>
  </si>
  <si>
    <t>H16</t>
  </si>
  <si>
    <t>E11 · fecha tope Acta: 02/04/2027</t>
  </si>
  <si>
    <t xml:space="preserve"> Reporte de seguimiento N.° 1 presentado (Módulo I y Kachimbo)</t>
  </si>
  <si>
    <t>4.3.4.2</t>
  </si>
  <si>
    <t>H17</t>
  </si>
  <si>
    <t>E11 · fecha tope Acta: 30/04/2027</t>
  </si>
  <si>
    <t xml:space="preserve"> Reporte de seguimiento N.° 2 presentado (Módulo II y Kaggle)</t>
  </si>
  <si>
    <t>4.3.5.2</t>
  </si>
  <si>
    <t>H18</t>
  </si>
  <si>
    <t>E11 · fecha tope Acta: 04/06/2027</t>
  </si>
  <si>
    <t xml:space="preserve"> Reporte de seguimiento N.° 3 presentado (Torneo de Vibecoding)</t>
  </si>
  <si>
    <t>4.3.6.2</t>
  </si>
  <si>
    <t>H19</t>
  </si>
  <si>
    <t>E11 · fecha tope Acta: 02/07/2027</t>
  </si>
  <si>
    <t xml:space="preserve"> Reporte de seguimiento N.° 4 presentado (Módulo III y premiación GCP)</t>
  </si>
  <si>
    <t>4.3.3.2</t>
  </si>
  <si>
    <t>H20</t>
  </si>
  <si>
    <t>E11 · fecha tope Acta: 05/08/2027</t>
  </si>
  <si>
    <t xml:space="preserve"> Reporte de seguimiento N.° 5 presentado (Hackathon de 24 h)</t>
  </si>
  <si>
    <t>4.3.7.2</t>
  </si>
  <si>
    <t>Cierre</t>
  </si>
  <si>
    <t>H21</t>
  </si>
  <si>
    <t>E12 · fecha tope Acta: 13/08/2027</t>
  </si>
  <si>
    <t xml:space="preserve"> Informe final de resultados aprobado y enviado a sponsors y PUCP</t>
  </si>
  <si>
    <t>5.1.2</t>
  </si>
  <si>
    <t>H22</t>
  </si>
  <si>
    <t>E13 · fecha tope Acta: 20/08/2027</t>
  </si>
  <si>
    <t xml:space="preserve"> Acta de cierre firmada – fin del proyecto</t>
  </si>
  <si>
    <t>5.4.3</t>
  </si>
  <si>
    <t>1</t>
  </si>
  <si>
    <t>INICIO</t>
  </si>
  <si>
    <t>1.1</t>
  </si>
  <si>
    <t>Acta de constitución del proyecto</t>
  </si>
  <si>
    <t>Revisar, aprobar y firmar el Acta de Constitución y designar al Gerente de Proyecto</t>
  </si>
  <si>
    <t>Ninguna</t>
  </si>
  <si>
    <t>Patrocinador (L. Flores); Gerente de Proyecto (L. Alvites)</t>
  </si>
  <si>
    <t>1.2</t>
  </si>
  <si>
    <t>Declaración preliminar del alcance</t>
  </si>
  <si>
    <t>1.2.1</t>
  </si>
  <si>
    <t>Definir inclusiones, exclusiones y supuestos del programa</t>
  </si>
  <si>
    <t>Equipo 5 (Planificación)</t>
  </si>
  <si>
    <t>1.2.2</t>
  </si>
  <si>
    <t>Validar el alcance preliminar con el Patrocinador</t>
  </si>
  <si>
    <t>Gerente de Proyecto (L. Alvites); Patrocinador (L. Flores)</t>
  </si>
  <si>
    <t>1.3</t>
  </si>
  <si>
    <t>Acuerdos iniciales con patrocinadores</t>
  </si>
  <si>
    <t>1.3.1</t>
  </si>
  <si>
    <t>Identificar y priorizar empresas potenciales (base de datos de sponsors)</t>
  </si>
  <si>
    <t>Relaciones Exteriores (S. Cruz)</t>
  </si>
  <si>
    <t>1.3.2</t>
  </si>
  <si>
    <t>Obtener carta de intención de NTT Data Perú como sede del evento final</t>
  </si>
  <si>
    <t>Relaciones Exteriores (S. Cruz); Gerente de Proyecto (L. Alvites)</t>
  </si>
  <si>
    <t>1.3.3</t>
  </si>
  <si>
    <t>Confirmar con el programa de Google para comunidades los créditos GCP</t>
  </si>
  <si>
    <t>1.4</t>
  </si>
  <si>
    <t>Registro de interesados</t>
  </si>
  <si>
    <t>1.4.1</t>
  </si>
  <si>
    <t>Identificar interesados y analizar poder, interés y expectativas</t>
  </si>
  <si>
    <t>Realizar la reunión de lanzamiento (kick-off) y asignar responsables por área</t>
  </si>
  <si>
    <t>1.2.2, 1.4.1</t>
  </si>
  <si>
    <t>Gerente de Proyecto (L. Alvites); Directores de área; Equipo 5 (Planificación)</t>
  </si>
  <si>
    <t>2</t>
  </si>
  <si>
    <t>PLANIFICACIÓN</t>
  </si>
  <si>
    <t>2.1</t>
  </si>
  <si>
    <t>Plan de Gestión del Proyecto</t>
  </si>
  <si>
    <t>2.1.1</t>
  </si>
  <si>
    <t>Integrar los planes subsidiarios en el Plan para la Dirección</t>
  </si>
  <si>
    <t>2.2.3, 2.3.2, 2.4.2, 2.5.2, 2.6.2, 2.7.2, 2.8.2, 2.9.2</t>
  </si>
  <si>
    <t>Gerente de Proyecto (L. Alvites); Equipo 5 (Planificación)</t>
  </si>
  <si>
    <t>2.1.2</t>
  </si>
  <si>
    <t>Revisar el plan con los directores de área y levantar observaciones</t>
  </si>
  <si>
    <t>Gerente de Proyecto (L. Alvites); Directores de área</t>
  </si>
  <si>
    <t>Sustentar y aprobar el Plan para la Dirección ante el Patrocinador (E1)</t>
  </si>
  <si>
    <t>2.2</t>
  </si>
  <si>
    <t>Plan de Gestión del Cronograma</t>
  </si>
  <si>
    <t>2.2.1</t>
  </si>
  <si>
    <t>Definir, secuenciar y estimar las actividades a partir de la EDT</t>
  </si>
  <si>
    <t>2.2.2</t>
  </si>
  <si>
    <t>Validar el cronograma con los directores y fijar la línea base</t>
  </si>
  <si>
    <t>Equipo 5 (Planificación); Directores de área</t>
  </si>
  <si>
    <t>2.2.3</t>
  </si>
  <si>
    <t>Elaborar el calendario de trámites PUCP (DAES, Pabellón V, Open PUCP)</t>
  </si>
  <si>
    <t>Logística y Eventos (F. Caceres); Finanzas y Legalidad (E. Chachayma)</t>
  </si>
  <si>
    <t>2.3</t>
  </si>
  <si>
    <t>Plan de Contenidos de los Talleres y Hackathons (Calidad)</t>
  </si>
  <si>
    <t>2.3.1</t>
  </si>
  <si>
    <t>Definir nivel, progresión y prerrequisitos de los tres módulos</t>
  </si>
  <si>
    <t>2.3.2</t>
  </si>
  <si>
    <t>Definir criterios de aceptación del material y encuesta de satisfacción (NPS)</t>
  </si>
  <si>
    <t>Equipo 5 (Planificación); RR.HH. (M. Colala)</t>
  </si>
  <si>
    <t>2.4</t>
  </si>
  <si>
    <t>Plan de Gestión de la Publicidad y Comunicaciones</t>
  </si>
  <si>
    <t>2.4.1</t>
  </si>
  <si>
    <t>Definir canales, frecuencia y responsables de la difusión</t>
  </si>
  <si>
    <t>Marketing y Comunidad (A. Quispe)</t>
  </si>
  <si>
    <t>2.4.2</t>
  </si>
  <si>
    <t>Definir formatos de reporte a la junta y a los patrocinadores</t>
  </si>
  <si>
    <t>Marketing y Comunidad (A. Quispe); Gerente de Proyecto (L. Alvites)</t>
  </si>
  <si>
    <t>2.5</t>
  </si>
  <si>
    <t>Plan de Gestión del Alcance</t>
  </si>
  <si>
    <t>2.5.1</t>
  </si>
  <si>
    <t>Elaborar la EDT y su diccionario</t>
  </si>
  <si>
    <t>2.5.2</t>
  </si>
  <si>
    <t>Definir el procedimiento de validación del alcance y control de cambios</t>
  </si>
  <si>
    <t>2.2.2, 2.5.1</t>
  </si>
  <si>
    <t>2.6</t>
  </si>
  <si>
    <t>Plan de Gestión de los Costos</t>
  </si>
  <si>
    <t>2.6.1</t>
  </si>
  <si>
    <t>Solicitar cotizaciones (catering, merchandising, premios, impresiones)</t>
  </si>
  <si>
    <t>Finanzas y Legalidad (E. Chachayma); Logística y Eventos (F. Caceres)</t>
  </si>
  <si>
    <t>2.6.2</t>
  </si>
  <si>
    <t>Elaborar el presupuesto y la línea base de costos por evento</t>
  </si>
  <si>
    <t>Finanzas y Legalidad (E. Chachayma)</t>
  </si>
  <si>
    <t>2.7</t>
  </si>
  <si>
    <t>Plan de Gestión de los Recursos</t>
  </si>
  <si>
    <t>2.7.1</t>
  </si>
  <si>
    <t>Elaborar la matriz RACI por área</t>
  </si>
  <si>
    <t>Gerente de Proyecto (L. Alvites); RR.HH. (M. Colala)</t>
  </si>
  <si>
    <t>2.7.2</t>
  </si>
  <si>
    <t>Definir el plan de voluntariado (convocatoria, inducción y KPIs)</t>
  </si>
  <si>
    <t>RR.HH. (M. Colala)</t>
  </si>
  <si>
    <t>2.8</t>
  </si>
  <si>
    <t>Plan de Gestión de los Riesgos</t>
  </si>
  <si>
    <t>2.8.1</t>
  </si>
  <si>
    <t>Identificar y evaluar riesgos (probabilidad e impacto)</t>
  </si>
  <si>
    <t>2.8.2</t>
  </si>
  <si>
    <t>Definir respuestas, responsables y reservas de contingencia</t>
  </si>
  <si>
    <t>2.8.1, 2.6.1</t>
  </si>
  <si>
    <t>Gerente de Proyecto (L. Alvites); Finanzas y Legalidad (E. Chachayma)</t>
  </si>
  <si>
    <t>2.9</t>
  </si>
  <si>
    <t>Plan de Gestión de las Adquisiciones (sponsors y merchandising)</t>
  </si>
  <si>
    <t>2.9.1</t>
  </si>
  <si>
    <t>Definir paquetes de auspicio y contraprestaciones</t>
  </si>
  <si>
    <t>Relaciones Exteriores (S. Cruz); Finanzas y Legalidad (E. Chachayma)</t>
  </si>
  <si>
    <t>2.9.2</t>
  </si>
  <si>
    <t>Definir criterios de compra y selección de proveedores</t>
  </si>
  <si>
    <t>2.9.1, 2.6.1</t>
  </si>
  <si>
    <t>3</t>
  </si>
  <si>
    <t>EJECUCIÓN</t>
  </si>
  <si>
    <t>3.1</t>
  </si>
  <si>
    <t>Patrocinios y adquisiciones</t>
  </si>
  <si>
    <t>3.1.1</t>
  </si>
  <si>
    <t>Expediente de patrocinios gestionados</t>
  </si>
  <si>
    <t>3.1.1.1</t>
  </si>
  <si>
    <t>Diseñar el brochure con paquetes de auspicio escalonados</t>
  </si>
  <si>
    <t>Marketing y Comunidad (A. Quispe); Relaciones Exteriores (S. Cruz)</t>
  </si>
  <si>
    <t>Enviar el brochure a las empresas priorizadas</t>
  </si>
  <si>
    <t>3.1.1.1, 1.3.1</t>
  </si>
  <si>
    <t>3.1.1.3</t>
  </si>
  <si>
    <t>Realizar reuniones y negociar paquetes de auspicio con empresas</t>
  </si>
  <si>
    <t>3.1.1.4</t>
  </si>
  <si>
    <t>Formalizar la alianza con NTT Data Perú (carta de compromiso firmada)</t>
  </si>
  <si>
    <t>3.1.1.2, 1.3.2</t>
  </si>
  <si>
    <t>3.1.1.5</t>
  </si>
  <si>
    <t>Firmar convenios o cartas de compromiso con cronograma de desembolsos</t>
  </si>
  <si>
    <t>Decidir go/no-go financiero con el Patrocinador (reducción de alcance si &lt; 60 %)</t>
  </si>
  <si>
    <t>Patrocinador (L. Flores); Gerente de Proyecto (L. Alvites); Finanzas y Legalidad (E. Chachayma)</t>
  </si>
  <si>
    <t>3.1.1.7</t>
  </si>
  <si>
    <t>Hacer seguimiento de desembolsos (≥ 30 días antes de cada evento)</t>
  </si>
  <si>
    <t>Continua</t>
  </si>
  <si>
    <t>3.1.2</t>
  </si>
  <si>
    <t>Diseño de merchandising</t>
  </si>
  <si>
    <t>3.1.2.1</t>
  </si>
  <si>
    <t>Diseñar artes de polos, stickers y tomatodos</t>
  </si>
  <si>
    <t>3.1.2.2</t>
  </si>
  <si>
    <t>Aprobar artes y cantidades según presupuesto confirmado</t>
  </si>
  <si>
    <t>3.1.3</t>
  </si>
  <si>
    <t>Orden de compra y acta de recepción de merchandising</t>
  </si>
  <si>
    <t>3.1.3.1</t>
  </si>
  <si>
    <t>Seleccionar proveedor y emitir la orden de compra</t>
  </si>
  <si>
    <t>3.1.3.2</t>
  </si>
  <si>
    <t>Producción del merchandising (proveedor)</t>
  </si>
  <si>
    <t>Finanzas y Legalidad (E. Chachayma); Proveedor</t>
  </si>
  <si>
    <t>3.1.3.3</t>
  </si>
  <si>
    <t>Recibir, verificar cantidades y firmar el acta de recepción</t>
  </si>
  <si>
    <t>3.2</t>
  </si>
  <si>
    <t>Publicidad y difusión</t>
  </si>
  <si>
    <t>3.2.1</t>
  </si>
  <si>
    <t>Piezas gráficas y audiovisuales</t>
  </si>
  <si>
    <t>3.2.1.1</t>
  </si>
  <si>
    <t>Diseñar la identidad visual del programa</t>
  </si>
  <si>
    <t>3.2.1.2</t>
  </si>
  <si>
    <t>Desarrollar la web oficial (cronograma, inscripción, privacidad Ley N.° 29733)</t>
  </si>
  <si>
    <t>Desarrollo de Software (R. Chang)</t>
  </si>
  <si>
    <t>3.2.1.3</t>
  </si>
  <si>
    <t>Ejecutar pruebas de carga y seguridad y desplegar la web en producción</t>
  </si>
  <si>
    <t>Infraestructura y Ciberseguridad (R. Sanchez); Desarrollo de Software (R. Chang)</t>
  </si>
  <si>
    <t>3.2.1.4</t>
  </si>
  <si>
    <t>Elaborar el calendario de publicaciones (mar–jul) y piezas de lanzamiento</t>
  </si>
  <si>
    <t>3.2.1.1, 2.4.2</t>
  </si>
  <si>
    <t>Lanzar la campaña y abrir inscripciones (E5)</t>
  </si>
  <si>
    <t>3.2.1.3, 3.2.1.4</t>
  </si>
  <si>
    <t>Marketing y Comunidad (A. Quispe); Desarrollo de Software (R. Chang); Infraestructura y Ciberseguridad (R. Sanchez)</t>
  </si>
  <si>
    <t>3.2.1.6</t>
  </si>
  <si>
    <t>Producir y publicar piezas por convocatoria (reels, flyers, fotos)</t>
  </si>
  <si>
    <t>3.2.2</t>
  </si>
  <si>
    <t>Informes de campañas publicitarias</t>
  </si>
  <si>
    <t>3.2.2.1</t>
  </si>
  <si>
    <t>Medir la campaña del Módulo I y Kachimbo (alcance, interacción, inscritos)</t>
  </si>
  <si>
    <t>3.2.2.2</t>
  </si>
  <si>
    <t>Medir la campaña del Módulo II y Kaggle</t>
  </si>
  <si>
    <t>3.2.2.3</t>
  </si>
  <si>
    <t>Medir la campaña del Torneo de Vibecoding</t>
  </si>
  <si>
    <t>3.2.2.4</t>
  </si>
  <si>
    <t>Medir la campaña del Módulo III y la premiación GCP</t>
  </si>
  <si>
    <t>3.2.2.5</t>
  </si>
  <si>
    <t>Medir la campaña de la Hackathon de 24 h</t>
  </si>
  <si>
    <t>3.3</t>
  </si>
  <si>
    <t>Primera Ronda de Talleres – Módulo I "Hack With DSC" (Pabellón V)</t>
  </si>
  <si>
    <t>3.3.1</t>
  </si>
  <si>
    <t>Equipo de voluntarios del evento</t>
  </si>
  <si>
    <t>3.3.1.1</t>
  </si>
  <si>
    <t>Convocatoria de voluntarios</t>
  </si>
  <si>
    <t>3.3.1.1.1</t>
  </si>
  <si>
    <t>Publicar la convocatoria y seleccionar voluntarios</t>
  </si>
  <si>
    <t>RR.HH. (M. Colala); Marketing y Comunidad (A. Quispe)</t>
  </si>
  <si>
    <t>3.3.1.2</t>
  </si>
  <si>
    <t>Matriz de asignación de roles</t>
  </si>
  <si>
    <t>3.3.1.2.1</t>
  </si>
  <si>
    <t>Asignar roles (registro, logística, soporte, fotografía) con titular y respaldo</t>
  </si>
  <si>
    <t>RR.HH. (M. Colala); Logística y Eventos (F. Caceres)</t>
  </si>
  <si>
    <t>3.3.1.3</t>
  </si>
  <si>
    <t>Registro de capacitación del equipo</t>
  </si>
  <si>
    <t>3.3.1.3.1</t>
  </si>
  <si>
    <t>Realizar la inducción del equipo y registrar la asistencia</t>
  </si>
  <si>
    <t>RR.HH. (M. Colala); Voluntarios DSC</t>
  </si>
  <si>
    <t>3.3.2</t>
  </si>
  <si>
    <t>Registro de recursos para el evento</t>
  </si>
  <si>
    <t>3.3.2.1</t>
  </si>
  <si>
    <t>Reservar laboratorios del Pabellón V para el Módulo I (requerimientos técnicos y aula alternativa)</t>
  </si>
  <si>
    <t>2.2.3, 4.1.2</t>
  </si>
  <si>
    <t>Logística y Eventos (F. Caceres)</t>
  </si>
  <si>
    <t>3.3.2.2</t>
  </si>
  <si>
    <t>Confirmar ponente titular y suplente de cada sesión del Módulo I (carta de compromiso)</t>
  </si>
  <si>
    <t>2.3.2, 2.1.3</t>
  </si>
  <si>
    <t>3.3.2.3</t>
  </si>
  <si>
    <t>Presentar solicitudes de acceso de externos (DAES 7 d.h.; Pabellón V 2 d.h.)</t>
  </si>
  <si>
    <t>3.3.2.1, 3.3.2.2</t>
  </si>
  <si>
    <t>3.3.2.4</t>
  </si>
  <si>
    <t>Realizar prueba técnica de laboratorio, Wi-Fi y máquina virtual</t>
  </si>
  <si>
    <t>Infraestructura y Ciberseguridad (R. Sanchez); Pabellón V (P. Corrado, F. Solari)</t>
  </si>
  <si>
    <t>3.3.2.5</t>
  </si>
  <si>
    <t>Confirmar asistencia de ponentes 7 y 2 días antes de cada sesión</t>
  </si>
  <si>
    <t>3.3.3</t>
  </si>
  <si>
    <t>Control de merchandising</t>
  </si>
  <si>
    <t>3.3.3.1</t>
  </si>
  <si>
    <t>Registrar entregas por sesión y stock disponible</t>
  </si>
  <si>
    <t>3.3.4</t>
  </si>
  <si>
    <t>Sílabos de los talleres</t>
  </si>
  <si>
    <t>3.3.4.1</t>
  </si>
  <si>
    <t>Elaborar los sílabos con los ponentes (objetivos, prerrequisitos, laboratorio)</t>
  </si>
  <si>
    <t>3.3.2.2, 2.3.2</t>
  </si>
  <si>
    <t>Gerente de Proyecto (L. Alvites); Ponentes</t>
  </si>
  <si>
    <t>3.3.4.2</t>
  </si>
  <si>
    <t>Revisar y aprobar los sílabos contra el Plan de Contenidos (2.3)</t>
  </si>
  <si>
    <t>Gerente de Proyecto (L. Alvites)</t>
  </si>
  <si>
    <t>3.3.5</t>
  </si>
  <si>
    <t>Informe de asistencia</t>
  </si>
  <si>
    <t>Sesión 1: Taller de desarrollo web con agentes de IA (I)</t>
  </si>
  <si>
    <t>3.3.1.3.1, 3.3.2.4, 3.3.4.2, 3.2.1.5</t>
  </si>
  <si>
    <t>Logística y Eventos (F. Caceres); Ponentes; Voluntarios DSC</t>
  </si>
  <si>
    <t>3.3.5.2</t>
  </si>
  <si>
    <t>Sesión 2: Taller de desarrollo web con agentes de IA (II)</t>
  </si>
  <si>
    <t>3.3.5.3</t>
  </si>
  <si>
    <t>Sesión 3: Taller de desarrollo web con agentes de IA (III)</t>
  </si>
  <si>
    <t>3.3.5.4</t>
  </si>
  <si>
    <t>Sesión 4: Speed meeting con expertos</t>
  </si>
  <si>
    <t>3.3.5.5</t>
  </si>
  <si>
    <t>Sesión 5: Mentoría de expertos (1)</t>
  </si>
  <si>
    <t>3.3.5.6</t>
  </si>
  <si>
    <t>Sesión 6: Mentoría de expertos (2)</t>
  </si>
  <si>
    <t>3.3.5.7</t>
  </si>
  <si>
    <t>Sesión 7: Taller de pitch (se adelanta al miércoles por Jueves Santo, R4)</t>
  </si>
  <si>
    <t>3.3.5.8</t>
  </si>
  <si>
    <t>Consolidar asistencia (inscritos vs. asistentes), NPS y emitir certificados</t>
  </si>
  <si>
    <t>3.6.5.1, 3.3.5.7</t>
  </si>
  <si>
    <t>Logística y Eventos (F. Caceres); RR.HH. (M. Colala)</t>
  </si>
  <si>
    <t>3.3.6</t>
  </si>
  <si>
    <t>Registro de lecciones aprendidas</t>
  </si>
  <si>
    <t>3.3.6.1</t>
  </si>
  <si>
    <t>Realizar la retrospectiva del módulo con el staff y registrar lecciones</t>
  </si>
  <si>
    <t>Gerente de Proyecto (L. Alvites); RR.HH. (M. Colala); Voluntarios DSC</t>
  </si>
  <si>
    <t>3.4</t>
  </si>
  <si>
    <t>Segunda Ronda de Talleres – Módulo II "IA y Machine Learning" (Pabellón V)</t>
  </si>
  <si>
    <t>3.4.1</t>
  </si>
  <si>
    <t>3.4.1.1</t>
  </si>
  <si>
    <t>3.4.1.1.1</t>
  </si>
  <si>
    <t>3.4.1.2</t>
  </si>
  <si>
    <t>3.4.1.2.1</t>
  </si>
  <si>
    <t>3.4.1.3</t>
  </si>
  <si>
    <t>3.4.1.3.1</t>
  </si>
  <si>
    <t>3.4.2</t>
  </si>
  <si>
    <t>3.4.2.1</t>
  </si>
  <si>
    <t>Reservar laboratorios del Pabellón V para el Módulo II (requerimientos técnicos y aula alternativa)</t>
  </si>
  <si>
    <t>3.4.2.2</t>
  </si>
  <si>
    <t>Confirmar ponente titular y suplente de cada sesión del Módulo II (carta de compromiso)</t>
  </si>
  <si>
    <t>3.4.2.3</t>
  </si>
  <si>
    <t>3.4.2.1, 3.4.2.2</t>
  </si>
  <si>
    <t>3.4.2.4</t>
  </si>
  <si>
    <t>3.4.2.5</t>
  </si>
  <si>
    <t>3.4.3</t>
  </si>
  <si>
    <t>3.4.3.1</t>
  </si>
  <si>
    <t>3.4.4</t>
  </si>
  <si>
    <t>3.4.4.1</t>
  </si>
  <si>
    <t>3.4.2.2, 2.3.2</t>
  </si>
  <si>
    <t>3.4.4.2</t>
  </si>
  <si>
    <t>3.4.5</t>
  </si>
  <si>
    <t>Sesión 1: Machine learning</t>
  </si>
  <si>
    <t>3.4.1.3.1, 3.4.2.4, 3.4.4.2, 3.2.1.5</t>
  </si>
  <si>
    <t>3.4.5.2</t>
  </si>
  <si>
    <t>Sesión 2: Análisis de datos</t>
  </si>
  <si>
    <t>3.4.5.3</t>
  </si>
  <si>
    <t>Sesión 3: Deep learning</t>
  </si>
  <si>
    <t>3.4.5.4</t>
  </si>
  <si>
    <t>Sesión 4: Graph machine learning</t>
  </si>
  <si>
    <t>3.4.5.5</t>
  </si>
  <si>
    <t>Sesión 5: Reinforcement learning</t>
  </si>
  <si>
    <t>3.4.5.6</t>
  </si>
  <si>
    <t>Sesión 6: LLM y NLP</t>
  </si>
  <si>
    <t>3.4.5.7</t>
  </si>
  <si>
    <t>Sesión 7: Agentes de IA</t>
  </si>
  <si>
    <t>3.4.5.8</t>
  </si>
  <si>
    <t>3.7.6.2, 3.4.5.7</t>
  </si>
  <si>
    <t>3.4.6</t>
  </si>
  <si>
    <t>3.4.6.1</t>
  </si>
  <si>
    <t>3.5</t>
  </si>
  <si>
    <t>Tercera Ronda de Talleres – Módulo III "Google Cloud Platform" (Pabellón V)</t>
  </si>
  <si>
    <t>3.5.1</t>
  </si>
  <si>
    <t>3.5.1.1</t>
  </si>
  <si>
    <t>3.5.1.1.1</t>
  </si>
  <si>
    <t>3.5.1.2</t>
  </si>
  <si>
    <t>3.5.1.2.1</t>
  </si>
  <si>
    <t>3.5.1.3</t>
  </si>
  <si>
    <t>3.5.1.3.1</t>
  </si>
  <si>
    <t>3.5.2</t>
  </si>
  <si>
    <t>3.5.2.1</t>
  </si>
  <si>
    <t>Reservar laboratorios del Pabellón V para el Módulo III (requerimientos técnicos y aula alternativa)</t>
  </si>
  <si>
    <t>3.5.2.2</t>
  </si>
  <si>
    <t>Confirmar ponente titular y suplente de cada sesión del Módulo III (carta de compromiso)</t>
  </si>
  <si>
    <t>3.5.2.3</t>
  </si>
  <si>
    <t>3.5.2.1, 3.5.2.2</t>
  </si>
  <si>
    <t>3.5.2.4</t>
  </si>
  <si>
    <t>3.5.2.5</t>
  </si>
  <si>
    <t>3.5.3</t>
  </si>
  <si>
    <t>3.5.3.1</t>
  </si>
  <si>
    <t>3.5.4</t>
  </si>
  <si>
    <t>3.5.4.1</t>
  </si>
  <si>
    <t>3.5.2.2, 2.3.2, 1.3.3</t>
  </si>
  <si>
    <t>3.5.4.2</t>
  </si>
  <si>
    <t>3.5.5</t>
  </si>
  <si>
    <t>3.5.5.1</t>
  </si>
  <si>
    <t>Sesión 1: Introducción a GCP (se publica el criterio de premiación)</t>
  </si>
  <si>
    <t>3.5.1.3.1, 3.5.2.4, 3.5.4.2, 3.2.1.5</t>
  </si>
  <si>
    <t>3.5.5.2</t>
  </si>
  <si>
    <t>Sesión 2: IA generativa en GCP</t>
  </si>
  <si>
    <t>3.5.5.3</t>
  </si>
  <si>
    <t>Sesión 3: Big data</t>
  </si>
  <si>
    <t>3.5.5.4</t>
  </si>
  <si>
    <t>Sesión 4: Cloud Run</t>
  </si>
  <si>
    <t>3.5.5.5</t>
  </si>
  <si>
    <t>Sesión 5: BigQuery</t>
  </si>
  <si>
    <t>3.5.5.6</t>
  </si>
  <si>
    <t>Sesión 6: MLOps</t>
  </si>
  <si>
    <t>3.5.5.7</t>
  </si>
  <si>
    <t>Sesión 7: DevOps</t>
  </si>
  <si>
    <t>Sesión 8: Evento de premiación de insignias y certificaciones GCP</t>
  </si>
  <si>
    <t>3.5.5.9</t>
  </si>
  <si>
    <t>3.5.6</t>
  </si>
  <si>
    <t>3.5.6.1</t>
  </si>
  <si>
    <t>3.6</t>
  </si>
  <si>
    <t>Hackathon "Kachimbo" – Pabellón V (sáb 27/03/2027)</t>
  </si>
  <si>
    <t>3.6.1</t>
  </si>
  <si>
    <t>3.6.1.1</t>
  </si>
  <si>
    <t>3.6.1.1.1</t>
  </si>
  <si>
    <t>3.6.1.2</t>
  </si>
  <si>
    <t>3.6.1.2.1</t>
  </si>
  <si>
    <t>3.6.1.3</t>
  </si>
  <si>
    <t>3.6.1.3.1</t>
  </si>
  <si>
    <t>3.6.2</t>
  </si>
  <si>
    <t>3.6.2.1</t>
  </si>
  <si>
    <t>Reservar ambiente y stands en Pabellón V (con alternativa)</t>
  </si>
  <si>
    <t>3.6.2.2</t>
  </si>
  <si>
    <t>Confirmar mentores y jurados (titular y suplente)</t>
  </si>
  <si>
    <t>3.6.2.3</t>
  </si>
  <si>
    <t>Presentar solicitud de acceso de externos (mentores y jurados)</t>
  </si>
  <si>
    <t>3.6.2.1, 3.6.2.2</t>
  </si>
  <si>
    <t>3.6.2.4</t>
  </si>
  <si>
    <t>Confirmar apertura del campus el Sábado de Gloria y el coffee break (R4)</t>
  </si>
  <si>
    <t>3.6.3</t>
  </si>
  <si>
    <t>Bases y reglamento de la competencia</t>
  </si>
  <si>
    <t>3.6.3.1</t>
  </si>
  <si>
    <t>Redactar bases, reglas de pitch (5 min) y rúbrica</t>
  </si>
  <si>
    <t>Gerente de Proyecto (L. Alvites); Relaciones Exteriores (S. Cruz)</t>
  </si>
  <si>
    <t>3.6.3.2</t>
  </si>
  <si>
    <t>Revisar y aprobar las bases (listas para publicar)</t>
  </si>
  <si>
    <t>3.6.3.3</t>
  </si>
  <si>
    <t>Publicar bases y abrir inscripción de equipos</t>
  </si>
  <si>
    <t>3.6.3.2, 3.2.1.5</t>
  </si>
  <si>
    <t>3.6.3.4</t>
  </si>
  <si>
    <t>Cerrar inscripciones y conformar equipos (sobre-inscripción 1.5x)</t>
  </si>
  <si>
    <t>3.6.4</t>
  </si>
  <si>
    <t>3.6.4.1</t>
  </si>
  <si>
    <t>Entregar merchandising y registrar stock</t>
  </si>
  <si>
    <t>3.6.5</t>
  </si>
  <si>
    <t>Ejecutar la Hackathon Kachimbo (pitch de 5 minutos)</t>
  </si>
  <si>
    <t>3.6.1.3.1, 3.6.2.3, 3.6.2.4, 3.6.3.4, 3.3.5.7</t>
  </si>
  <si>
    <t>Logística y Eventos (F. Caceres); Mentores; Jurados; Voluntarios DSC</t>
  </si>
  <si>
    <t>3.6.5.2</t>
  </si>
  <si>
    <t>Consolidar asistencia y encuesta NPS</t>
  </si>
  <si>
    <t>3.6.6</t>
  </si>
  <si>
    <t>Certificados de participación y acta de premiación</t>
  </si>
  <si>
    <t>3.6.6.1</t>
  </si>
  <si>
    <t>Firmar el acta de premiación y emitir certificados</t>
  </si>
  <si>
    <t>RR.HH. (M. Colala); Gerente de Proyecto (L. Alvites)</t>
  </si>
  <si>
    <t>3.6.7</t>
  </si>
  <si>
    <t>3.6.7.1</t>
  </si>
  <si>
    <t>Registrar lecciones aprendidas del evento</t>
  </si>
  <si>
    <t>3.7</t>
  </si>
  <si>
    <t>Competencia de Kaggle – cierre Módulo II (sáb 24/04/2027)</t>
  </si>
  <si>
    <t>3.7.1</t>
  </si>
  <si>
    <t>3.7.1.1</t>
  </si>
  <si>
    <t>3.7.1.1.1</t>
  </si>
  <si>
    <t>3.7.1.2</t>
  </si>
  <si>
    <t>3.7.1.2.1</t>
  </si>
  <si>
    <t>3.7.1.3</t>
  </si>
  <si>
    <t>3.7.1.3.1</t>
  </si>
  <si>
    <t>3.7.2</t>
  </si>
  <si>
    <t>3.7.2.1</t>
  </si>
  <si>
    <t>Reservar aula en Pabellón V para la sesión de cierre (con alternativa)</t>
  </si>
  <si>
    <t>3.7.2.2</t>
  </si>
  <si>
    <t>Confirmar jurado técnico y premios menores</t>
  </si>
  <si>
    <t>3.7.3</t>
  </si>
  <si>
    <t>Configuración de la competencia en la plataforma</t>
  </si>
  <si>
    <t>3.7.3.1</t>
  </si>
  <si>
    <t>Configurar la competencia en Kaggle (datos, fechas, límite de envíos, leaderboard)</t>
  </si>
  <si>
    <t>3.7.4.3</t>
  </si>
  <si>
    <t>Desarrollo de Software (R. Chang); Gerente de Proyecto (L. Alvites)</t>
  </si>
  <si>
    <t>3.7.3.2</t>
  </si>
  <si>
    <t>Realizar envío de prueba y validar la métrica en el leaderboard</t>
  </si>
  <si>
    <t>3.7.4</t>
  </si>
  <si>
    <t>Bases, dataset y criterios de evaluación</t>
  </si>
  <si>
    <t>3.7.4.1</t>
  </si>
  <si>
    <t>Seleccionar y preparar el dataset de la competencia</t>
  </si>
  <si>
    <t>3.7.4.2</t>
  </si>
  <si>
    <t>Definir la métrica de evaluación y redactar las bases</t>
  </si>
  <si>
    <t>Revisar y aprobar bases, dataset y métrica</t>
  </si>
  <si>
    <t>3.7.5</t>
  </si>
  <si>
    <t>3.7.5.1</t>
  </si>
  <si>
    <t>Entregar premios y merchandising en el cierre y registrar stock</t>
  </si>
  <si>
    <t>3.7.6</t>
  </si>
  <si>
    <t>Informe de participación</t>
  </si>
  <si>
    <t>3.7.6.1</t>
  </si>
  <si>
    <t>Competencia abierta en Kaggle (recepción de envíos)</t>
  </si>
  <si>
    <t>Realizar la sesión de cierre y publicar el ranking final</t>
  </si>
  <si>
    <t>3.7.6.1, 3.7.2.1, 3.7.2.2, 3.7.1.3.1, 3.4.5.7</t>
  </si>
  <si>
    <t>Logística y Eventos (F. Caceres); Jurados; Voluntarios DSC</t>
  </si>
  <si>
    <t>3.7.6.3</t>
  </si>
  <si>
    <t>Elaborar el informe de participación (equipos, envíos, participantes)</t>
  </si>
  <si>
    <t>3.7.7</t>
  </si>
  <si>
    <t>3.7.7.1</t>
  </si>
  <si>
    <t>3.7.8</t>
  </si>
  <si>
    <t>3.7.8.1</t>
  </si>
  <si>
    <t>3.8</t>
  </si>
  <si>
    <t>Torneo de Vibecoding – Hackathon de 8 h en Open PUCP (sáb 29/05/2027)</t>
  </si>
  <si>
    <t>3.8.1</t>
  </si>
  <si>
    <t>3.8.1.1</t>
  </si>
  <si>
    <t>3.8.1.1.1</t>
  </si>
  <si>
    <t>3.8.1.2</t>
  </si>
  <si>
    <t>3.8.1.2.1</t>
  </si>
  <si>
    <t>3.8.1.3</t>
  </si>
  <si>
    <t>3.8.1.3.1</t>
  </si>
  <si>
    <t>3.8.2</t>
  </si>
  <si>
    <t>3.8.2.1</t>
  </si>
  <si>
    <t>Reservar salas de Open PUCP con requerimientos técnicos (con alternativa)</t>
  </si>
  <si>
    <t>3.8.2.2</t>
  </si>
  <si>
    <t>3.8.2.3</t>
  </si>
  <si>
    <t>Contratar alimentación, merchandising y transporte de jurados (fondos desembolsados)</t>
  </si>
  <si>
    <t>3.8.2.4</t>
  </si>
  <si>
    <t>Presentar solicitud de acceso de externos (participantes, mentores y jurados)</t>
  </si>
  <si>
    <t>3.8.2.1, 3.8.3.4</t>
  </si>
  <si>
    <t>3.8.2.5</t>
  </si>
  <si>
    <t>Realizar prueba técnica de conectividad y energía en Open PUCP</t>
  </si>
  <si>
    <t>Infraestructura y Ciberseguridad (R. Sanchez)</t>
  </si>
  <si>
    <t>3.8.3</t>
  </si>
  <si>
    <t>Bases y criterios de evaluación</t>
  </si>
  <si>
    <t>3.8.3.1</t>
  </si>
  <si>
    <t>Redactar bases y rúbrica del jurado (código desde cero, repositorio)</t>
  </si>
  <si>
    <t>3.8.3.2</t>
  </si>
  <si>
    <t>Revisar y aprobar bases y rúbrica</t>
  </si>
  <si>
    <t>3.8.3.3</t>
  </si>
  <si>
    <t>Publicar bases y abrir inscripciones (estudiantes y egresados del Perú)</t>
  </si>
  <si>
    <t>3.8.3.4</t>
  </si>
  <si>
    <t>Cerrar inscripciones y confirmar equipos</t>
  </si>
  <si>
    <t>3.8.4</t>
  </si>
  <si>
    <t>3.8.4.1</t>
  </si>
  <si>
    <t>3.8.5</t>
  </si>
  <si>
    <t>Ejecutar el Torneo de Vibecoding (8 horas)</t>
  </si>
  <si>
    <t>3.8.1.3.1, 3.8.2.2, 3.8.2.3, 3.8.2.4, 3.8.2.5</t>
  </si>
  <si>
    <t>3.8.5.2</t>
  </si>
  <si>
    <t>Elaborar el informe de participación y resultados</t>
  </si>
  <si>
    <t>3.8.6</t>
  </si>
  <si>
    <t>3.8.6.1</t>
  </si>
  <si>
    <t>Firmar el acta de premiación, publicar resultados y emitir certificados</t>
  </si>
  <si>
    <t>RR.HH. (M. Colala); Gerente de Proyecto (L. Alvites); Marketing y Comunidad (A. Quispe)</t>
  </si>
  <si>
    <t>3.8.7</t>
  </si>
  <si>
    <t>3.8.7.1</t>
  </si>
  <si>
    <t>3.9</t>
  </si>
  <si>
    <t>Hackathon Internacional de 24 horas – NTT Data Perú (31/07 – 01/08/2027)</t>
  </si>
  <si>
    <t>3.9.1</t>
  </si>
  <si>
    <t>3.9.1.1</t>
  </si>
  <si>
    <t>3.9.1.1.1</t>
  </si>
  <si>
    <t>3.9.1.2</t>
  </si>
  <si>
    <t>3.9.1.2.1</t>
  </si>
  <si>
    <t>3.9.1.3</t>
  </si>
  <si>
    <t>3.9.1.3.1</t>
  </si>
  <si>
    <t>3.9.2</t>
  </si>
  <si>
    <t>3.9.2.1</t>
  </si>
  <si>
    <t>Reservar la sede de NTT Data y definir sede alternativa (Open PUCP)</t>
  </si>
  <si>
    <t>3.1.1.4, 4.1.2</t>
  </si>
  <si>
    <t>Logística y Eventos (F. Caceres); Relaciones Exteriores (S. Cruz)</t>
  </si>
  <si>
    <t>3.9.2.2</t>
  </si>
  <si>
    <t>Elaborar el plan de seguridad y protocolo de emergencia del evento de 24 h</t>
  </si>
  <si>
    <t>3.9.2.3</t>
  </si>
  <si>
    <t>Confirmar mentores y jurados de la industria (titular y suplente)</t>
  </si>
  <si>
    <t>3.9.2.4</t>
  </si>
  <si>
    <t>Contratar catering de 24 h, seguridad y premios (proveedor formal)</t>
  </si>
  <si>
    <t>3.9.2.5</t>
  </si>
  <si>
    <t>Tramitar el acceso de participantes y staff con NTT Data</t>
  </si>
  <si>
    <t>3.9.4.5</t>
  </si>
  <si>
    <t>3.9.3</t>
  </si>
  <si>
    <t>Infraestructura tecnológica y plataforma de transmisión</t>
  </si>
  <si>
    <t>3.9.3.1</t>
  </si>
  <si>
    <t>Configurar streaming, canales de soporte y entornos GCP de respaldo</t>
  </si>
  <si>
    <t>3.9.3.2</t>
  </si>
  <si>
    <t>Realizar el simulacro técnico integral en sede</t>
  </si>
  <si>
    <t>Infraestructura y Ciberseguridad (R. Sanchez); Logística y Eventos (F. Caceres)</t>
  </si>
  <si>
    <t>3.9.4</t>
  </si>
  <si>
    <t>3.9.4.1</t>
  </si>
  <si>
    <t>Definir el formato internacional (equipos remotos y jurados internacionales, R15)</t>
  </si>
  <si>
    <t>3.9.4.2</t>
  </si>
  <si>
    <t>Redactar bases, reglamento y cláusula de propiedad intelectual</t>
  </si>
  <si>
    <t>3.9.4.3</t>
  </si>
  <si>
    <t>3.9.4.4</t>
  </si>
  <si>
    <t>Publicar bases y abrir inscripciones</t>
  </si>
  <si>
    <t>Cerrar inscripciones y confirmar equipos (lista de espera)</t>
  </si>
  <si>
    <t>3.9.5</t>
  </si>
  <si>
    <t>Acta de entrega de merchandising</t>
  </si>
  <si>
    <t>3.9.5.1</t>
  </si>
  <si>
    <t>Entregar merchandising y firmar el acta de entrega</t>
  </si>
  <si>
    <t>3.9.6</t>
  </si>
  <si>
    <t>Ejecutar la Hackathon Internacional de 24 h (sáb 31/07 – dom 01/08)</t>
  </si>
  <si>
    <t>3.9.1.3.1, 3.9.2.3, 3.9.2.4, 3.9.2.5, 3.9.3.2, 3.5.5.8</t>
  </si>
  <si>
    <t>Logística y Eventos (F. Caceres); Infraestructura y Ciberseguridad (R. Sanchez); Mentores; Jurados; Voluntarios DSC</t>
  </si>
  <si>
    <t>3.9.6.2</t>
  </si>
  <si>
    <t>Consolidar asistencia, productos desplegados y NPS</t>
  </si>
  <si>
    <t>3.9.7</t>
  </si>
  <si>
    <t>3.9.7.1</t>
  </si>
  <si>
    <t>3.9.8</t>
  </si>
  <si>
    <t>3.9.8.1</t>
  </si>
  <si>
    <t>4</t>
  </si>
  <si>
    <t>SEGUIMIENTO Y CONTROL</t>
  </si>
  <si>
    <t>4.1</t>
  </si>
  <si>
    <t>Registro de riesgos actualizado</t>
  </si>
  <si>
    <t>4.1.1</t>
  </si>
  <si>
    <t>Realizar la reunión semanal de seguimiento y actualizar el registro de riesgos</t>
  </si>
  <si>
    <t>4.1.2</t>
  </si>
  <si>
    <t>Validar el calendario académico 2027-1 de la PUCP y reprogramar si aplica (R3)</t>
  </si>
  <si>
    <t>4.2</t>
  </si>
  <si>
    <t>Registro de control de cambios</t>
  </si>
  <si>
    <t>4.2.1</t>
  </si>
  <si>
    <t>Registrar, evaluar y decidir solicitudes de cambio a la línea base</t>
  </si>
  <si>
    <t>4.3</t>
  </si>
  <si>
    <t>Informes de control por evento</t>
  </si>
  <si>
    <t>4.3.1</t>
  </si>
  <si>
    <t>Informe de control de la Primera Ronda de Talleres</t>
  </si>
  <si>
    <t>4.3.1.1</t>
  </si>
  <si>
    <t>Elaborar el informe: asistencia vs. meta, NPS y presupuesto ejecutado vs. asignado</t>
  </si>
  <si>
    <t>3.3.5.8, 3.3.6.1, 3.2.2.1</t>
  </si>
  <si>
    <t>RR.HH. (M. Colala); Finanzas y Legalidad (E. Chachayma); Marketing y Comunidad (A. Quispe)</t>
  </si>
  <si>
    <t>4.3.2</t>
  </si>
  <si>
    <t>Informe de control de la Segunda Ronda de Talleres</t>
  </si>
  <si>
    <t>4.3.2.1</t>
  </si>
  <si>
    <t>3.4.5.8, 3.4.6.1, 3.2.2.2</t>
  </si>
  <si>
    <t>4.3.3</t>
  </si>
  <si>
    <t>Informe de control de la Tercera Ronda de Talleres</t>
  </si>
  <si>
    <t>4.3.3.1</t>
  </si>
  <si>
    <t>3.5.5.9, 3.5.6.1, 3.2.2.4</t>
  </si>
  <si>
    <t>Presentar al Patrocinador el Reporte de seguimiento N.° 4 (Módulo III y premiación GCP)</t>
  </si>
  <si>
    <t>4.3.4</t>
  </si>
  <si>
    <t>Informe de control del Hackathon "Kachimbo"</t>
  </si>
  <si>
    <t>4.3.4.1</t>
  </si>
  <si>
    <t>3.6.5.2, 3.6.6.1, 3.6.7.1, 3.2.2.1</t>
  </si>
  <si>
    <t>Presentar al Patrocinador el Reporte de seguimiento N.° 1 (Módulo I y Kachimbo)</t>
  </si>
  <si>
    <t>4.3.4.1, 4.3.1.1</t>
  </si>
  <si>
    <t>4.3.5</t>
  </si>
  <si>
    <t>Informe de control de la Competencia de Kaggle</t>
  </si>
  <si>
    <t>4.3.5.1</t>
  </si>
  <si>
    <t>3.7.6.3, 3.7.7.1, 3.7.8.1, 3.2.2.2</t>
  </si>
  <si>
    <t>Presentar al Patrocinador el Reporte de seguimiento N.° 2 (Módulo II y Kaggle)</t>
  </si>
  <si>
    <t>4.3.5.1, 4.3.2.1</t>
  </si>
  <si>
    <t>4.3.6</t>
  </si>
  <si>
    <t>Informe de control del Torneo de Vibecoding</t>
  </si>
  <si>
    <t>4.3.6.1</t>
  </si>
  <si>
    <t>3.8.5.2, 3.8.6.1, 3.8.7.1, 3.2.2.3</t>
  </si>
  <si>
    <t>Presentar al Patrocinador el Reporte de seguimiento N.° 3 (Torneo de Vibecoding)</t>
  </si>
  <si>
    <t>4.3.7</t>
  </si>
  <si>
    <t>Informe de control del Hackathon Internacional</t>
  </si>
  <si>
    <t>4.3.7.1</t>
  </si>
  <si>
    <t>3.9.6.2, 3.9.7.1, 3.9.8.1, 3.2.2.5</t>
  </si>
  <si>
    <t>Presentar al Patrocinador el Reporte de seguimiento N.° 5 (Hackathon de 24 h)</t>
  </si>
  <si>
    <t>5</t>
  </si>
  <si>
    <t>CIERRE</t>
  </si>
  <si>
    <t>5.1</t>
  </si>
  <si>
    <t>Informe Final de Resultados</t>
  </si>
  <si>
    <t>5.1.1</t>
  </si>
  <si>
    <t>Consolidar métricas vs. criterios de éxito, NPS global, portafolio y evidencia</t>
  </si>
  <si>
    <t>Aprobar el informe final con el Patrocinador y enviarlo a sponsors y PUCP (E12)</t>
  </si>
  <si>
    <t>5.1.1, 5.4.2</t>
  </si>
  <si>
    <t>5.2</t>
  </si>
  <si>
    <t>Acuerdos cerrados con patrocinadores</t>
  </si>
  <si>
    <t>5.2.1</t>
  </si>
  <si>
    <t>Recopilar evidencia de contraprestaciones cumplidas por sponsor</t>
  </si>
  <si>
    <t>Relaciones Exteriores (S. Cruz); Marketing y Comunidad (A. Quispe)</t>
  </si>
  <si>
    <t>5.2.2</t>
  </si>
  <si>
    <t>Enviar el informe de retorno y solicitar la renovación del patrocinio</t>
  </si>
  <si>
    <t>5.1.2, 5.2.1</t>
  </si>
  <si>
    <t>5.3</t>
  </si>
  <si>
    <t>Reporte de lecciones aprendidas con el equipo de voluntarios</t>
  </si>
  <si>
    <t>5.3.1</t>
  </si>
  <si>
    <t>Consolidar las lecciones aprendidas de los siete eventos</t>
  </si>
  <si>
    <t>5.3.2</t>
  </si>
  <si>
    <t>Realizar la retrospectiva final con voluntarios</t>
  </si>
  <si>
    <t>5.3.3</t>
  </si>
  <si>
    <t>Emitir los certificados del staff organizador</t>
  </si>
  <si>
    <t>5.4</t>
  </si>
  <si>
    <t>Cierre administrativo y financiero</t>
  </si>
  <si>
    <t>5.4.1</t>
  </si>
  <si>
    <t>Liquidar gastos del evento de 24 h y rendiciones pendientes</t>
  </si>
  <si>
    <t>5.4.2</t>
  </si>
  <si>
    <t>Elaborar el balance financiero final (superávit para la siguiente edición)</t>
  </si>
  <si>
    <t>5.4.1, 4.3.7.2</t>
  </si>
  <si>
    <t>Firmar el acta de cierre (Patrocinador y Gerente de Proyecto) (E13)</t>
  </si>
  <si>
    <t>5.1.2, 5.2.2, 5.3.3, 5.5.1, 5.6.1</t>
  </si>
  <si>
    <t>5.5</t>
  </si>
  <si>
    <t>Repositorio de activos del proyecto transferido</t>
  </si>
  <si>
    <t>5.5.1</t>
  </si>
  <si>
    <t>Organizar y transferir sílabos, artes, plantillas, bases de datos y contactos</t>
  </si>
  <si>
    <t>Gerente de Proyecto (L. Alvites); Desarrollo de Software (R. Chang)</t>
  </si>
  <si>
    <t>5.6</t>
  </si>
  <si>
    <t>Informe de sugerencias para el siguiente semestre</t>
  </si>
  <si>
    <t>5.6.1</t>
  </si>
  <si>
    <t>Analizar sugerencias y tendencias y proponer la siguiente Ruta de Talleres</t>
  </si>
  <si>
    <t>5.1.2, 5.3.2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</si>
</sst>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"/>
  </numFmts>
  <fonts count="27">
    <font>
      <sz val="11.0"/>
      <color theme="1"/>
      <name val="Calibri"/>
      <scheme val="minor"/>
    </font>
    <font>
      <b/>
      <sz val="13.0"/>
      <color rgb="FF0B5394"/>
      <name val="Calibri"/>
    </font>
    <font>
      <b/>
      <sz val="15.0"/>
      <color rgb="FF0B5394"/>
      <name val="Calibri"/>
    </font>
    <font>
      <b/>
      <sz val="11.0"/>
      <color theme="1"/>
      <name val="Calibri"/>
    </font>
    <font>
      <sz val="11.0"/>
      <color rgb="FF0000FF"/>
      <name val="Calibri"/>
    </font>
    <font>
      <i/>
      <sz val="9.0"/>
      <color theme="1"/>
      <name val="Calibri"/>
    </font>
    <font>
      <sz val="9.0"/>
      <color rgb="FF000000"/>
      <name val="Calibri"/>
    </font>
    <font>
      <b/>
      <sz val="11.0"/>
      <color rgb="FF0B5394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sz val="10.0"/>
      <color theme="1"/>
      <name val="Calibri"/>
    </font>
    <font>
      <i/>
      <sz val="9.0"/>
      <color rgb="FF666666"/>
      <name val="Calibri"/>
    </font>
    <font>
      <b/>
      <sz val="11.0"/>
      <color rgb="FF000000"/>
      <name val="Calibri"/>
    </font>
    <font>
      <b/>
      <sz val="9.0"/>
      <color rgb="FF444444"/>
      <name val="Calibri"/>
    </font>
    <font>
      <b/>
      <sz val="8.0"/>
      <color theme="1"/>
      <name val="Calibri"/>
    </font>
    <font/>
    <font>
      <sz val="11.0"/>
      <color theme="1"/>
      <name val="Calibri"/>
    </font>
    <font>
      <b/>
      <sz val="9.0"/>
      <color rgb="FF000000"/>
      <name val="Calibri"/>
    </font>
    <font>
      <b/>
      <sz val="9.0"/>
      <color rgb="FFFFFFFF"/>
      <name val="Calibri"/>
    </font>
    <font>
      <b/>
      <sz val="9.0"/>
      <color rgb="FF0000FF"/>
      <name val="Calibri"/>
    </font>
    <font>
      <b/>
      <sz val="7.0"/>
      <color rgb="FFFFFFFF"/>
      <name val="Calibri"/>
    </font>
    <font>
      <i/>
      <sz val="8.0"/>
      <color theme="1"/>
      <name val="Calibri"/>
    </font>
    <font>
      <b/>
      <sz val="10.0"/>
      <color rgb="FFFFFFFF"/>
      <name val="Calibri"/>
    </font>
    <font>
      <color theme="1"/>
      <name val="Calibri"/>
      <scheme val="minor"/>
    </font>
    <font>
      <b/>
      <sz val="10.0"/>
      <color rgb="FF000000"/>
      <name val="Calibri"/>
    </font>
    <font>
      <sz val="10.0"/>
      <color rgb="FF0000FF"/>
      <name val="Calibri"/>
    </font>
    <font>
      <b/>
      <sz val="10.0"/>
      <color rgb="FF0000FF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E06666"/>
        <bgColor rgb="FFE06666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434343"/>
        <bgColor rgb="FF434343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A64D79"/>
        <bgColor rgb="FFA64D79"/>
      </patternFill>
    </fill>
    <fill>
      <patternFill patternType="solid">
        <fgColor rgb="FF45818E"/>
        <bgColor rgb="FF45818E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BF9000"/>
        <bgColor rgb="FFBF9000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shrinkToFit="0" vertical="top" wrapText="1"/>
    </xf>
    <xf borderId="1" fillId="2" fontId="8" numFmtId="0" xfId="0" applyAlignment="1" applyBorder="1" applyFill="1" applyFont="1">
      <alignment horizontal="center" shrinkToFit="0" vertical="center" wrapText="1"/>
    </xf>
    <xf borderId="2" fillId="3" fontId="4" numFmtId="164" xfId="0" applyAlignment="1" applyBorder="1" applyFill="1" applyFont="1" applyNumberFormat="1">
      <alignment shrinkToFit="0" vertical="bottom" wrapText="0"/>
    </xf>
    <xf borderId="0" fillId="0" fontId="9" numFmtId="0" xfId="0" applyAlignment="1" applyFont="1">
      <alignment shrinkToFit="0" vertical="top" wrapText="1"/>
    </xf>
    <xf borderId="1" fillId="0" fontId="10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top" wrapText="1"/>
    </xf>
    <xf borderId="2" fillId="2" fontId="8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shrinkToFit="0" vertical="bottom" wrapText="0"/>
    </xf>
    <xf borderId="2" fillId="2" fontId="8" numFmtId="0" xfId="0" applyAlignment="1" applyBorder="1" applyFill="1" applyFont="1">
      <alignment horizontal="center" shrinkToFit="0" vertical="bottom" wrapText="0"/>
    </xf>
    <xf borderId="1" fillId="0" fontId="10" numFmtId="164" xfId="0" applyAlignment="1" applyBorder="1" applyFont="1" applyNumberFormat="1">
      <alignment horizontal="center" shrinkToFit="0" vertical="center" wrapText="1"/>
    </xf>
    <xf borderId="3" fillId="4" fontId="14" numFmtId="0" xfId="0" applyAlignment="1" applyBorder="1" applyFill="1" applyFont="1">
      <alignment horizontal="center" shrinkToFit="0" vertical="bottom" wrapText="0"/>
    </xf>
    <xf borderId="4" fillId="0" fontId="15" numFmtId="0" xfId="0" applyBorder="1" applyFont="1"/>
    <xf borderId="5" fillId="0" fontId="15" numFmtId="0" xfId="0" applyBorder="1" applyFont="1"/>
    <xf borderId="0" fillId="0" fontId="16" numFmtId="0" xfId="0" applyAlignment="1" applyFont="1">
      <alignment horizontal="center" shrinkToFit="0" vertical="bottom" wrapText="0"/>
    </xf>
    <xf borderId="1" fillId="0" fontId="10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bottom" wrapText="0"/>
    </xf>
    <xf borderId="0" fillId="0" fontId="16" numFmtId="164" xfId="0" applyAlignment="1" applyFont="1" applyNumberFormat="1">
      <alignment shrinkToFit="0" vertical="bottom" wrapText="0"/>
    </xf>
    <xf borderId="0" fillId="0" fontId="17" numFmtId="0" xfId="0" applyAlignment="1" applyFont="1">
      <alignment horizontal="right" shrinkToFit="0" vertical="center" wrapText="0"/>
    </xf>
    <xf borderId="2" fillId="5" fontId="18" numFmtId="0" xfId="0" applyAlignment="1" applyBorder="1" applyFill="1" applyFont="1">
      <alignment horizontal="center" shrinkToFit="0" vertical="center" wrapText="0"/>
    </xf>
    <xf borderId="3" fillId="6" fontId="18" numFmtId="0" xfId="0" applyAlignment="1" applyBorder="1" applyFill="1" applyFont="1">
      <alignment horizontal="center" shrinkToFit="0" vertical="center" wrapText="0"/>
    </xf>
    <xf borderId="2" fillId="4" fontId="17" numFmtId="0" xfId="0" applyAlignment="1" applyBorder="1" applyFill="1" applyFont="1">
      <alignment horizontal="center" shrinkToFit="0" vertical="center" wrapText="0"/>
    </xf>
    <xf borderId="2" fillId="7" fontId="17" numFmtId="0" xfId="0" applyAlignment="1" applyBorder="1" applyFill="1" applyFont="1">
      <alignment horizontal="center" readingOrder="0" shrinkToFit="0" vertical="center" wrapText="0"/>
    </xf>
    <xf borderId="3" fillId="7" fontId="19" numFmtId="0" xfId="0" applyAlignment="1" applyBorder="1" applyFill="1" applyFont="1">
      <alignment horizontal="center" shrinkToFit="0" vertical="center" wrapText="0"/>
    </xf>
    <xf borderId="2" fillId="8" fontId="20" numFmtId="0" xfId="0" applyAlignment="1" applyBorder="1" applyFill="1" applyFont="1">
      <alignment horizontal="center" shrinkToFit="0" vertical="bottom" wrapText="0"/>
    </xf>
    <xf borderId="0" fillId="0" fontId="21" numFmtId="0" xfId="0" applyAlignment="1" applyFont="1">
      <alignment horizontal="right" shrinkToFit="0" vertical="bottom" wrapText="0"/>
    </xf>
    <xf borderId="2" fillId="2" fontId="22" numFmtId="165" xfId="0" applyAlignment="1" applyBorder="1" applyFill="1" applyFont="1" applyNumberFormat="1">
      <alignment horizontal="center" shrinkToFit="0" textRotation="90" vertical="center" wrapText="0"/>
    </xf>
    <xf borderId="1" fillId="2" fontId="22" numFmtId="0" xfId="0" applyAlignment="1" applyBorder="1" applyFill="1" applyFont="1">
      <alignment horizontal="center" shrinkToFit="0" vertical="center" wrapText="1"/>
    </xf>
    <xf borderId="2" fillId="2" fontId="16" numFmtId="0" xfId="0" applyAlignment="1" applyBorder="1" applyFill="1" applyFont="1">
      <alignment shrinkToFit="0" vertical="bottom" wrapText="0"/>
    </xf>
    <xf borderId="1" fillId="9" fontId="22" numFmtId="0" xfId="0" applyAlignment="1" applyBorder="1" applyFill="1" applyFont="1">
      <alignment horizontal="center" shrinkToFit="0" vertical="center" wrapText="0"/>
    </xf>
    <xf borderId="1" fillId="9" fontId="22" numFmtId="0" xfId="0" applyAlignment="1" applyBorder="1" applyFill="1" applyFont="1">
      <alignment horizontal="left" shrinkToFit="0" vertical="center" wrapText="1"/>
    </xf>
    <xf borderId="1" fillId="9" fontId="22" numFmtId="164" xfId="0" applyAlignment="1" applyBorder="1" applyFill="1" applyFont="1" applyNumberFormat="1">
      <alignment horizontal="center" shrinkToFit="0" vertical="center" wrapText="0"/>
    </xf>
    <xf borderId="1" fillId="9" fontId="22" numFmtId="0" xfId="0" applyAlignment="1" applyBorder="1" applyFill="1" applyFont="1">
      <alignment horizontal="center" shrinkToFit="0" vertical="center" wrapText="1"/>
    </xf>
    <xf borderId="1" fillId="9" fontId="22" numFmtId="9" xfId="0" applyAlignment="1" applyBorder="1" applyFill="1" applyFont="1" applyNumberFormat="1">
      <alignment horizontal="center" shrinkToFit="0" vertical="center" wrapText="0"/>
    </xf>
    <xf borderId="0" fillId="0" fontId="23" numFmtId="0" xfId="0" applyFont="1"/>
    <xf borderId="1" fillId="10" fontId="9" numFmtId="0" xfId="0" applyAlignment="1" applyBorder="1" applyFill="1" applyFont="1">
      <alignment horizontal="center" shrinkToFit="0" vertical="center" wrapText="0"/>
    </xf>
    <xf borderId="1" fillId="10" fontId="9" numFmtId="0" xfId="0" applyAlignment="1" applyBorder="1" applyFill="1" applyFont="1">
      <alignment horizontal="left" shrinkToFit="0" vertical="center" wrapText="1"/>
    </xf>
    <xf borderId="1" fillId="10" fontId="24" numFmtId="0" xfId="0" applyAlignment="1" applyBorder="1" applyFill="1" applyFont="1">
      <alignment horizontal="left" readingOrder="0" shrinkToFit="0" vertical="center" wrapText="1"/>
    </xf>
    <xf borderId="1" fillId="10" fontId="9" numFmtId="0" xfId="0" applyAlignment="1" applyBorder="1" applyFill="1" applyFont="1">
      <alignment horizontal="center" readingOrder="0" shrinkToFit="0" vertical="center" wrapText="0"/>
    </xf>
    <xf borderId="1" fillId="10" fontId="9" numFmtId="164" xfId="0" applyAlignment="1" applyBorder="1" applyFill="1" applyFont="1" applyNumberFormat="1">
      <alignment horizontal="center" shrinkToFit="0" vertical="center" wrapText="0"/>
    </xf>
    <xf borderId="1" fillId="10" fontId="9" numFmtId="0" xfId="0" applyAlignment="1" applyBorder="1" applyFill="1" applyFont="1">
      <alignment horizontal="center" shrinkToFit="0" vertical="center" wrapText="1"/>
    </xf>
    <xf borderId="1" fillId="10" fontId="9" numFmtId="9" xfId="0" applyAlignment="1" applyBorder="1" applyFill="1" applyFont="1" applyNumberFormat="1">
      <alignment horizontal="center" shrinkToFit="0" vertical="center" wrapText="0"/>
    </xf>
    <xf borderId="0" fillId="0" fontId="24" numFmtId="0" xfId="0" applyAlignment="1" applyFont="1">
      <alignment horizontal="center" shrinkToFit="0" vertical="bottom" wrapText="0"/>
    </xf>
    <xf borderId="1" fillId="11" fontId="9" numFmtId="0" xfId="0" applyAlignment="1" applyBorder="1" applyFill="1" applyFont="1">
      <alignment horizontal="center" shrinkToFit="0" vertical="center" wrapText="0"/>
    </xf>
    <xf borderId="1" fillId="11" fontId="9" numFmtId="0" xfId="0" applyAlignment="1" applyBorder="1" applyFill="1" applyFont="1">
      <alignment horizontal="left" shrinkToFit="0" vertical="center" wrapText="1"/>
    </xf>
    <xf borderId="1" fillId="11" fontId="24" numFmtId="0" xfId="0" applyAlignment="1" applyBorder="1" applyFill="1" applyFont="1">
      <alignment horizontal="left" readingOrder="0" shrinkToFit="0" vertical="center" wrapText="1"/>
    </xf>
    <xf borderId="1" fillId="11" fontId="9" numFmtId="0" xfId="0" applyAlignment="1" applyBorder="1" applyFill="1" applyFont="1">
      <alignment horizontal="center" readingOrder="0" shrinkToFit="0" vertical="center" wrapText="0"/>
    </xf>
    <xf borderId="1" fillId="11" fontId="9" numFmtId="164" xfId="0" applyAlignment="1" applyBorder="1" applyFill="1" applyFont="1" applyNumberFormat="1">
      <alignment horizontal="center" shrinkToFit="0" vertical="center" wrapText="0"/>
    </xf>
    <xf borderId="1" fillId="11" fontId="9" numFmtId="0" xfId="0" applyAlignment="1" applyBorder="1" applyFill="1" applyFont="1">
      <alignment horizontal="center" shrinkToFit="0" vertical="center" wrapText="1"/>
    </xf>
    <xf borderId="1" fillId="11" fontId="9" numFmtId="9" xfId="0" applyAlignment="1" applyBorder="1" applyFill="1" applyFont="1" applyNumberFormat="1">
      <alignment horizontal="center" shrinkToFit="0" vertical="center" wrapText="0"/>
    </xf>
    <xf borderId="1" fillId="12" fontId="9" numFmtId="0" xfId="0" applyAlignment="1" applyBorder="1" applyFill="1" applyFont="1">
      <alignment horizontal="center" shrinkToFit="0" vertical="center" wrapText="0"/>
    </xf>
    <xf borderId="1" fillId="12" fontId="9" numFmtId="0" xfId="0" applyAlignment="1" applyBorder="1" applyFill="1" applyFont="1">
      <alignment horizontal="left" shrinkToFit="0" vertical="center" wrapText="1"/>
    </xf>
    <xf borderId="1" fillId="12" fontId="24" numFmtId="0" xfId="0" applyAlignment="1" applyBorder="1" applyFill="1" applyFont="1">
      <alignment horizontal="left" readingOrder="0" shrinkToFit="0" vertical="center" wrapText="1"/>
    </xf>
    <xf borderId="1" fillId="12" fontId="9" numFmtId="0" xfId="0" applyAlignment="1" applyBorder="1" applyFill="1" applyFont="1">
      <alignment horizontal="center" readingOrder="0" shrinkToFit="0" vertical="center" wrapText="0"/>
    </xf>
    <xf borderId="1" fillId="12" fontId="9" numFmtId="164" xfId="0" applyAlignment="1" applyBorder="1" applyFill="1" applyFont="1" applyNumberFormat="1">
      <alignment horizontal="center" shrinkToFit="0" vertical="center" wrapText="0"/>
    </xf>
    <xf borderId="1" fillId="12" fontId="9" numFmtId="0" xfId="0" applyAlignment="1" applyBorder="1" applyFill="1" applyFont="1">
      <alignment horizontal="center" shrinkToFit="0" vertical="center" wrapText="1"/>
    </xf>
    <xf borderId="1" fillId="12" fontId="9" numFmtId="9" xfId="0" applyAlignment="1" applyBorder="1" applyFill="1" applyFont="1" applyNumberFormat="1">
      <alignment horizontal="center" shrinkToFit="0" vertical="center" wrapText="0"/>
    </xf>
    <xf borderId="1" fillId="12" fontId="9" numFmtId="0" xfId="0" applyAlignment="1" applyBorder="1" applyFill="1" applyFont="1">
      <alignment horizontal="left" readingOrder="0" shrinkToFit="0" vertical="center" wrapText="1"/>
    </xf>
    <xf borderId="1" fillId="12" fontId="9" numFmtId="164" xfId="0" applyAlignment="1" applyBorder="1" applyFill="1" applyFont="1" applyNumberFormat="1">
      <alignment horizontal="center" readingOrder="0" shrinkToFit="0" vertical="center" wrapText="0"/>
    </xf>
    <xf borderId="1" fillId="12" fontId="9" numFmtId="0" xfId="0" applyAlignment="1" applyBorder="1" applyFill="1" applyFont="1">
      <alignment horizontal="center" readingOrder="0" shrinkToFit="0" vertical="center" wrapText="1"/>
    </xf>
    <xf borderId="1" fillId="13" fontId="9" numFmtId="0" xfId="0" applyAlignment="1" applyBorder="1" applyFill="1" applyFont="1">
      <alignment horizontal="center" shrinkToFit="0" vertical="center" wrapText="0"/>
    </xf>
    <xf borderId="1" fillId="13" fontId="9" numFmtId="0" xfId="0" applyAlignment="1" applyBorder="1" applyFill="1" applyFont="1">
      <alignment horizontal="left" shrinkToFit="0" vertical="center" wrapText="1"/>
    </xf>
    <xf borderId="1" fillId="13" fontId="24" numFmtId="0" xfId="0" applyAlignment="1" applyBorder="1" applyFill="1" applyFont="1">
      <alignment horizontal="left" readingOrder="0" shrinkToFit="0" vertical="center" wrapText="1"/>
    </xf>
    <xf borderId="1" fillId="13" fontId="9" numFmtId="0" xfId="0" applyAlignment="1" applyBorder="1" applyFill="1" applyFont="1">
      <alignment horizontal="center" readingOrder="0" shrinkToFit="0" vertical="center" wrapText="0"/>
    </xf>
    <xf borderId="1" fillId="13" fontId="9" numFmtId="164" xfId="0" applyAlignment="1" applyBorder="1" applyFill="1" applyFont="1" applyNumberFormat="1">
      <alignment horizontal="center" shrinkToFit="0" vertical="center" wrapText="0"/>
    </xf>
    <xf borderId="1" fillId="13" fontId="9" numFmtId="0" xfId="0" applyAlignment="1" applyBorder="1" applyFill="1" applyFont="1">
      <alignment horizontal="center" shrinkToFit="0" vertical="center" wrapText="1"/>
    </xf>
    <xf borderId="1" fillId="13" fontId="9" numFmtId="9" xfId="0" applyAlignment="1" applyBorder="1" applyFill="1" applyFont="1" applyNumberFormat="1">
      <alignment horizontal="center" shrinkToFit="0" vertical="center" wrapText="0"/>
    </xf>
    <xf borderId="1" fillId="14" fontId="9" numFmtId="0" xfId="0" applyAlignment="1" applyBorder="1" applyFill="1" applyFont="1">
      <alignment horizontal="center" shrinkToFit="0" vertical="center" wrapText="0"/>
    </xf>
    <xf borderId="1" fillId="14" fontId="9" numFmtId="0" xfId="0" applyAlignment="1" applyBorder="1" applyFill="1" applyFont="1">
      <alignment horizontal="left" shrinkToFit="0" vertical="center" wrapText="1"/>
    </xf>
    <xf borderId="1" fillId="14" fontId="24" numFmtId="0" xfId="0" applyAlignment="1" applyBorder="1" applyFill="1" applyFont="1">
      <alignment horizontal="left" readingOrder="0" shrinkToFit="0" vertical="center" wrapText="1"/>
    </xf>
    <xf borderId="1" fillId="14" fontId="9" numFmtId="0" xfId="0" applyAlignment="1" applyBorder="1" applyFill="1" applyFont="1">
      <alignment horizontal="center" readingOrder="0" shrinkToFit="0" vertical="center" wrapText="0"/>
    </xf>
    <xf borderId="1" fillId="14" fontId="9" numFmtId="164" xfId="0" applyAlignment="1" applyBorder="1" applyFill="1" applyFont="1" applyNumberFormat="1">
      <alignment horizontal="center" shrinkToFit="0" vertical="center" wrapText="0"/>
    </xf>
    <xf borderId="1" fillId="14" fontId="9" numFmtId="0" xfId="0" applyAlignment="1" applyBorder="1" applyFill="1" applyFont="1">
      <alignment horizontal="center" shrinkToFit="0" vertical="center" wrapText="1"/>
    </xf>
    <xf borderId="1" fillId="14" fontId="9" numFmtId="9" xfId="0" applyAlignment="1" applyBorder="1" applyFill="1" applyFont="1" applyNumberFormat="1">
      <alignment horizontal="center" shrinkToFit="0" vertical="center" wrapText="0"/>
    </xf>
    <xf borderId="1" fillId="15" fontId="22" numFmtId="0" xfId="0" applyAlignment="1" applyBorder="1" applyFill="1" applyFont="1">
      <alignment horizontal="center" shrinkToFit="0" vertical="center" wrapText="0"/>
    </xf>
    <xf borderId="1" fillId="15" fontId="22" numFmtId="0" xfId="0" applyAlignment="1" applyBorder="1" applyFill="1" applyFont="1">
      <alignment horizontal="left" shrinkToFit="0" vertical="center" wrapText="1"/>
    </xf>
    <xf borderId="1" fillId="15" fontId="22" numFmtId="164" xfId="0" applyAlignment="1" applyBorder="1" applyFill="1" applyFont="1" applyNumberFormat="1">
      <alignment horizontal="center" shrinkToFit="0" vertical="center" wrapText="0"/>
    </xf>
    <xf borderId="1" fillId="15" fontId="22" numFmtId="0" xfId="0" applyAlignment="1" applyBorder="1" applyFill="1" applyFont="1">
      <alignment horizontal="center" shrinkToFit="0" vertical="center" wrapText="1"/>
    </xf>
    <xf borderId="1" fillId="15" fontId="22" numFmtId="9" xfId="0" applyAlignment="1" applyBorder="1" applyFill="1" applyFont="1" applyNumberFormat="1">
      <alignment horizontal="center" shrinkToFit="0" vertical="center" wrapText="0"/>
    </xf>
    <xf borderId="1" fillId="10" fontId="24" numFmtId="0" xfId="0" applyAlignment="1" applyBorder="1" applyFill="1" applyFont="1">
      <alignment horizontal="center" shrinkToFit="0" vertical="center" wrapText="0"/>
    </xf>
    <xf borderId="1" fillId="10" fontId="24" numFmtId="0" xfId="0" applyAlignment="1" applyBorder="1" applyFill="1" applyFont="1">
      <alignment horizontal="left" shrinkToFit="0" vertical="center" wrapText="1"/>
    </xf>
    <xf borderId="1" fillId="10" fontId="24" numFmtId="164" xfId="0" applyAlignment="1" applyBorder="1" applyFill="1" applyFont="1" applyNumberFormat="1">
      <alignment horizontal="center" shrinkToFit="0" vertical="center" wrapText="0"/>
    </xf>
    <xf borderId="1" fillId="10" fontId="24" numFmtId="0" xfId="0" applyAlignment="1" applyBorder="1" applyFill="1" applyFont="1">
      <alignment horizontal="center" shrinkToFit="0" vertical="center" wrapText="1"/>
    </xf>
    <xf borderId="1" fillId="10" fontId="24" numFmtId="9" xfId="0" applyAlignment="1" applyBorder="1" applyFill="1" applyFont="1" applyNumberFormat="1">
      <alignment horizontal="center" shrinkToFit="0" vertical="center" wrapText="0"/>
    </xf>
    <xf borderId="1" fillId="0" fontId="10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center" shrinkToFit="0" vertical="center" wrapText="0"/>
    </xf>
    <xf borderId="1" fillId="0" fontId="26" numFmtId="164" xfId="0" applyAlignment="1" applyBorder="1" applyFont="1" applyNumberFormat="1">
      <alignment horizontal="center" shrinkToFit="0" vertical="center" wrapText="0"/>
    </xf>
    <xf borderId="1" fillId="0" fontId="10" numFmtId="164" xfId="0" applyAlignment="1" applyBorder="1" applyFont="1" applyNumberFormat="1">
      <alignment horizontal="center" shrinkToFit="0" vertical="center" wrapText="0"/>
    </xf>
    <xf borderId="1" fillId="0" fontId="25" numFmtId="9" xfId="0" applyAlignment="1" applyBorder="1" applyFont="1" applyNumberFormat="1">
      <alignment horizontal="center" shrinkToFit="0" vertical="center" wrapText="0"/>
    </xf>
    <xf borderId="1" fillId="16" fontId="22" numFmtId="0" xfId="0" applyAlignment="1" applyBorder="1" applyFill="1" applyFont="1">
      <alignment horizontal="center" shrinkToFit="0" vertical="center" wrapText="0"/>
    </xf>
    <xf borderId="1" fillId="16" fontId="22" numFmtId="0" xfId="0" applyAlignment="1" applyBorder="1" applyFill="1" applyFont="1">
      <alignment horizontal="left" shrinkToFit="0" vertical="center" wrapText="1"/>
    </xf>
    <xf borderId="1" fillId="16" fontId="22" numFmtId="164" xfId="0" applyAlignment="1" applyBorder="1" applyFill="1" applyFont="1" applyNumberFormat="1">
      <alignment horizontal="center" shrinkToFit="0" vertical="center" wrapText="0"/>
    </xf>
    <xf borderId="1" fillId="16" fontId="22" numFmtId="0" xfId="0" applyAlignment="1" applyBorder="1" applyFill="1" applyFont="1">
      <alignment horizontal="center" shrinkToFit="0" vertical="center" wrapText="1"/>
    </xf>
    <xf borderId="1" fillId="16" fontId="22" numFmtId="9" xfId="0" applyAlignment="1" applyBorder="1" applyFill="1" applyFont="1" applyNumberFormat="1">
      <alignment horizontal="center" shrinkToFit="0" vertical="center" wrapText="0"/>
    </xf>
    <xf borderId="1" fillId="11" fontId="24" numFmtId="0" xfId="0" applyAlignment="1" applyBorder="1" applyFill="1" applyFont="1">
      <alignment horizontal="center" shrinkToFit="0" vertical="center" wrapText="0"/>
    </xf>
    <xf borderId="1" fillId="11" fontId="24" numFmtId="0" xfId="0" applyAlignment="1" applyBorder="1" applyFill="1" applyFont="1">
      <alignment horizontal="left" shrinkToFit="0" vertical="center" wrapText="1"/>
    </xf>
    <xf borderId="1" fillId="11" fontId="24" numFmtId="164" xfId="0" applyAlignment="1" applyBorder="1" applyFill="1" applyFont="1" applyNumberFormat="1">
      <alignment horizontal="center" shrinkToFit="0" vertical="center" wrapText="0"/>
    </xf>
    <xf borderId="1" fillId="11" fontId="24" numFmtId="0" xfId="0" applyAlignment="1" applyBorder="1" applyFill="1" applyFont="1">
      <alignment horizontal="center" shrinkToFit="0" vertical="center" wrapText="1"/>
    </xf>
    <xf borderId="1" fillId="11" fontId="24" numFmtId="9" xfId="0" applyAlignment="1" applyBorder="1" applyFill="1" applyFont="1" applyNumberFormat="1">
      <alignment horizontal="center" shrinkToFit="0" vertical="center" wrapText="0"/>
    </xf>
    <xf borderId="1" fillId="17" fontId="22" numFmtId="0" xfId="0" applyAlignment="1" applyBorder="1" applyFill="1" applyFont="1">
      <alignment horizontal="center" shrinkToFit="0" vertical="center" wrapText="0"/>
    </xf>
    <xf borderId="1" fillId="17" fontId="22" numFmtId="0" xfId="0" applyAlignment="1" applyBorder="1" applyFill="1" applyFont="1">
      <alignment horizontal="left" shrinkToFit="0" vertical="center" wrapText="1"/>
    </xf>
    <xf borderId="1" fillId="17" fontId="22" numFmtId="164" xfId="0" applyAlignment="1" applyBorder="1" applyFill="1" applyFont="1" applyNumberFormat="1">
      <alignment horizontal="center" shrinkToFit="0" vertical="center" wrapText="0"/>
    </xf>
    <xf borderId="1" fillId="17" fontId="22" numFmtId="0" xfId="0" applyAlignment="1" applyBorder="1" applyFill="1" applyFont="1">
      <alignment horizontal="center" shrinkToFit="0" vertical="center" wrapText="1"/>
    </xf>
    <xf borderId="1" fillId="17" fontId="22" numFmtId="9" xfId="0" applyAlignment="1" applyBorder="1" applyFill="1" applyFont="1" applyNumberFormat="1">
      <alignment horizontal="center" shrinkToFit="0" vertical="center" wrapText="0"/>
    </xf>
    <xf borderId="1" fillId="18" fontId="22" numFmtId="0" xfId="0" applyAlignment="1" applyBorder="1" applyFill="1" applyFont="1">
      <alignment horizontal="center" shrinkToFit="0" vertical="center" wrapText="0"/>
    </xf>
    <xf borderId="1" fillId="18" fontId="22" numFmtId="0" xfId="0" applyAlignment="1" applyBorder="1" applyFill="1" applyFont="1">
      <alignment horizontal="left" shrinkToFit="0" vertical="center" wrapText="1"/>
    </xf>
    <xf borderId="1" fillId="18" fontId="22" numFmtId="164" xfId="0" applyAlignment="1" applyBorder="1" applyFill="1" applyFont="1" applyNumberFormat="1">
      <alignment horizontal="center" shrinkToFit="0" vertical="center" wrapText="0"/>
    </xf>
    <xf borderId="1" fillId="18" fontId="22" numFmtId="0" xfId="0" applyAlignment="1" applyBorder="1" applyFill="1" applyFont="1">
      <alignment horizontal="center" shrinkToFit="0" vertical="center" wrapText="1"/>
    </xf>
    <xf borderId="1" fillId="18" fontId="22" numFmtId="9" xfId="0" applyAlignment="1" applyBorder="1" applyFill="1" applyFont="1" applyNumberFormat="1">
      <alignment horizontal="center" shrinkToFit="0" vertical="center" wrapText="0"/>
    </xf>
    <xf borderId="1" fillId="12" fontId="24" numFmtId="0" xfId="0" applyAlignment="1" applyBorder="1" applyFill="1" applyFont="1">
      <alignment horizontal="center" shrinkToFit="0" vertical="center" wrapText="0"/>
    </xf>
    <xf borderId="1" fillId="12" fontId="24" numFmtId="0" xfId="0" applyAlignment="1" applyBorder="1" applyFill="1" applyFont="1">
      <alignment horizontal="left" shrinkToFit="0" vertical="center" wrapText="1"/>
    </xf>
    <xf borderId="1" fillId="12" fontId="24" numFmtId="164" xfId="0" applyAlignment="1" applyBorder="1" applyFill="1" applyFont="1" applyNumberFormat="1">
      <alignment horizontal="center" shrinkToFit="0" vertical="center" wrapText="0"/>
    </xf>
    <xf borderId="1" fillId="12" fontId="24" numFmtId="0" xfId="0" applyAlignment="1" applyBorder="1" applyFill="1" applyFont="1">
      <alignment horizontal="center" shrinkToFit="0" vertical="center" wrapText="1"/>
    </xf>
    <xf borderId="1" fillId="12" fontId="24" numFmtId="9" xfId="0" applyAlignment="1" applyBorder="1" applyFill="1" applyFont="1" applyNumberFormat="1">
      <alignment horizontal="center" shrinkToFit="0" vertical="center" wrapText="0"/>
    </xf>
    <xf borderId="1" fillId="0" fontId="25" numFmtId="164" xfId="0" applyAlignment="1" applyBorder="1" applyFont="1" applyNumberFormat="1">
      <alignment horizontal="center" shrinkToFit="0" vertical="center" wrapText="0"/>
    </xf>
    <xf borderId="1" fillId="0" fontId="10" numFmtId="0" xfId="0" applyAlignment="1" applyBorder="1" applyFont="1">
      <alignment horizontal="center" readingOrder="0" shrinkToFit="0" vertical="center" wrapText="0"/>
    </xf>
    <xf borderId="1" fillId="19" fontId="22" numFmtId="0" xfId="0" applyAlignment="1" applyBorder="1" applyFill="1" applyFont="1">
      <alignment horizontal="center" shrinkToFit="0" vertical="center" wrapText="1"/>
    </xf>
    <xf borderId="1" fillId="19" fontId="22" numFmtId="0" xfId="0" applyAlignment="1" applyBorder="1" applyFill="1" applyFont="1">
      <alignment horizontal="center" shrinkToFit="0" vertical="center" wrapText="0"/>
    </xf>
    <xf borderId="1" fillId="19" fontId="22" numFmtId="0" xfId="0" applyAlignment="1" applyBorder="1" applyFill="1" applyFont="1">
      <alignment horizontal="left" shrinkToFit="0" vertical="center" wrapText="1"/>
    </xf>
    <xf borderId="1" fillId="19" fontId="22" numFmtId="164" xfId="0" applyAlignment="1" applyBorder="1" applyFill="1" applyFont="1" applyNumberFormat="1">
      <alignment horizontal="center" shrinkToFit="0" vertical="center" wrapText="0"/>
    </xf>
    <xf borderId="1" fillId="19" fontId="22" numFmtId="9" xfId="0" applyAlignment="1" applyBorder="1" applyFill="1" applyFont="1" applyNumberFormat="1">
      <alignment horizontal="center" shrinkToFit="0" vertical="center" wrapText="0"/>
    </xf>
    <xf borderId="1" fillId="13" fontId="24" numFmtId="0" xfId="0" applyAlignment="1" applyBorder="1" applyFill="1" applyFont="1">
      <alignment horizontal="center" shrinkToFit="0" vertical="center" wrapText="1"/>
    </xf>
    <xf borderId="1" fillId="13" fontId="24" numFmtId="0" xfId="0" applyAlignment="1" applyBorder="1" applyFill="1" applyFont="1">
      <alignment horizontal="center" shrinkToFit="0" vertical="center" wrapText="0"/>
    </xf>
    <xf borderId="1" fillId="13" fontId="24" numFmtId="0" xfId="0" applyAlignment="1" applyBorder="1" applyFill="1" applyFont="1">
      <alignment horizontal="left" shrinkToFit="0" vertical="center" wrapText="1"/>
    </xf>
    <xf borderId="1" fillId="13" fontId="24" numFmtId="164" xfId="0" applyAlignment="1" applyBorder="1" applyFill="1" applyFont="1" applyNumberFormat="1">
      <alignment horizontal="center" shrinkToFit="0" vertical="center" wrapText="0"/>
    </xf>
    <xf borderId="1" fillId="13" fontId="24" numFmtId="9" xfId="0" applyAlignment="1" applyBorder="1" applyFill="1" applyFont="1" applyNumberFormat="1">
      <alignment horizontal="center" shrinkToFit="0" vertical="center" wrapText="0"/>
    </xf>
    <xf borderId="1" fillId="20" fontId="22" numFmtId="0" xfId="0" applyAlignment="1" applyBorder="1" applyFill="1" applyFont="1">
      <alignment horizontal="center" shrinkToFit="0" vertical="center" wrapText="1"/>
    </xf>
    <xf borderId="1" fillId="20" fontId="22" numFmtId="0" xfId="0" applyAlignment="1" applyBorder="1" applyFill="1" applyFont="1">
      <alignment horizontal="center" shrinkToFit="0" vertical="center" wrapText="0"/>
    </xf>
    <xf borderId="1" fillId="20" fontId="22" numFmtId="0" xfId="0" applyAlignment="1" applyBorder="1" applyFill="1" applyFont="1">
      <alignment horizontal="left" shrinkToFit="0" vertical="center" wrapText="1"/>
    </xf>
    <xf borderId="1" fillId="20" fontId="22" numFmtId="164" xfId="0" applyAlignment="1" applyBorder="1" applyFill="1" applyFont="1" applyNumberFormat="1">
      <alignment horizontal="center" shrinkToFit="0" vertical="center" wrapText="0"/>
    </xf>
    <xf borderId="1" fillId="20" fontId="22" numFmtId="9" xfId="0" applyAlignment="1" applyBorder="1" applyFill="1" applyFont="1" applyNumberFormat="1">
      <alignment horizontal="center" shrinkToFit="0" vertical="center" wrapText="0"/>
    </xf>
    <xf borderId="1" fillId="21" fontId="22" numFmtId="0" xfId="0" applyAlignment="1" applyBorder="1" applyFill="1" applyFont="1">
      <alignment horizontal="center" shrinkToFit="0" vertical="center" wrapText="0"/>
    </xf>
    <xf borderId="1" fillId="21" fontId="22" numFmtId="0" xfId="0" applyAlignment="1" applyBorder="1" applyFill="1" applyFont="1">
      <alignment horizontal="left" shrinkToFit="0" vertical="center" wrapText="1"/>
    </xf>
    <xf borderId="1" fillId="21" fontId="22" numFmtId="164" xfId="0" applyAlignment="1" applyBorder="1" applyFill="1" applyFont="1" applyNumberFormat="1">
      <alignment horizontal="center" shrinkToFit="0" vertical="center" wrapText="0"/>
    </xf>
    <xf borderId="1" fillId="21" fontId="22" numFmtId="0" xfId="0" applyAlignment="1" applyBorder="1" applyFill="1" applyFont="1">
      <alignment horizontal="center" shrinkToFit="0" vertical="center" wrapText="1"/>
    </xf>
    <xf borderId="1" fillId="21" fontId="22" numFmtId="9" xfId="0" applyAlignment="1" applyBorder="1" applyFill="1" applyFont="1" applyNumberFormat="1">
      <alignment horizontal="center" shrinkToFit="0" vertical="center" wrapText="0"/>
    </xf>
    <xf borderId="1" fillId="14" fontId="24" numFmtId="0" xfId="0" applyAlignment="1" applyBorder="1" applyFill="1" applyFont="1">
      <alignment horizontal="center" shrinkToFit="0" vertical="center" wrapText="0"/>
    </xf>
    <xf borderId="1" fillId="14" fontId="24" numFmtId="0" xfId="0" applyAlignment="1" applyBorder="1" applyFill="1" applyFont="1">
      <alignment horizontal="left" shrinkToFit="0" vertical="center" wrapText="1"/>
    </xf>
    <xf borderId="1" fillId="14" fontId="24" numFmtId="164" xfId="0" applyAlignment="1" applyBorder="1" applyFill="1" applyFont="1" applyNumberFormat="1">
      <alignment horizontal="center" shrinkToFit="0" vertical="center" wrapText="0"/>
    </xf>
    <xf borderId="1" fillId="14" fontId="24" numFmtId="0" xfId="0" applyAlignment="1" applyBorder="1" applyFill="1" applyFont="1">
      <alignment horizontal="center" shrinkToFit="0" vertical="center" wrapText="1"/>
    </xf>
    <xf borderId="1" fillId="14" fontId="24" numFmtId="9" xfId="0" applyAlignment="1" applyBorder="1" applyFill="1" applyFont="1" applyNumberFormat="1">
      <alignment horizontal="center" shrinkToFit="0" vertical="center" wrapText="0"/>
    </xf>
  </cellXfs>
  <cellStyles count="1">
    <cellStyle xfId="0" name="Normal" builtinId="0"/>
  </cellStyles>
  <dxfs count="18">
    <dxf>
      <font/>
      <fill>
        <patternFill patternType="solid">
          <fgColor rgb="FF434343"/>
          <bgColor rgb="FF434343"/>
        </patternFill>
      </fill>
      <border/>
    </dxf>
    <dxf>
      <font/>
      <fill>
        <patternFill patternType="solid">
          <fgColor rgb="FFA64D79"/>
          <bgColor rgb="FFA64D79"/>
        </patternFill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8E7CC3"/>
          <bgColor rgb="FF8E7CC3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C00000"/>
      </font>
      <fill>
        <patternFill patternType="none"/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NDY MARGORETH ZINANYUCA HUILLCA" id="{3f5accea-f811-4d3e-8fef-f1c614ec282c}" providerId="google-sheets"/>
  <x18tc:person displayName="Unknown Author" id="{a3ad8326-5c3f-4b6e-84e4-dd2888914b9e}" providerId="google-sheets"/>
  <x18tc:person displayName="ENZO ANDRE AVILA MAMANI" id="{16d00f5f-9868-4bbe-b2de-c0a850769ea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02" dT="2026-09-26T16:26:26.00" personId="{a3ad8326-5c3f-4b6e-84e4-dd2888914b9e}" id="{491f563f-afd4-4607-ab84-d0c3535d1f0a}" done="0">
    <x18tc:text xml:space="preserve">Evento continuo de 24 h: sábado 31/07 a domingo 01/08 (2 días calendario). La fecha de fin se calcula como inicio + 1 día calendario.</x18tc:text>
  </x18tc:threadedComment>
  <x18tc:threadedComment ref="E304" dT="2026-09-26T16:26:26.00" personId="{a3ad8326-5c3f-4b6e-84e4-dd2888914b9e}" id="{239f4ce2-4c67-4711-957e-404f9c50f86b}" done="0">
    <x18tc:text xml:space="preserve">Evento continuo de 24 h: sábado 31/07 a domingo 01/08 (2 días calendario). La fecha de fin se calcula como inicio + 1 día calendario.</x18tc:text>
  </x18tc:threadedComment>
  <x18tc:threadedComment ref="E304" dT="2026-09-27T04:50:49.00" personId="{16d00f5f-9868-4bbe-b2de-c0a850769eaa}" id="{9926e60f-1bf0-41ff-93f6-fb660ab361c8}" parentId="{239f4ce2-4c67-4711-957e-404f9c50f86b}">
    <x18tc:text xml:space="preserve">Marcado como resuelto</x18tc:text>
  </x18tc:threadedComment>
  <x18tc:threadedComment ref="E304" dT="2026-09-27T04:51:11.00" personId="{16d00f5f-9868-4bbe-b2de-c0a850769eaa}" id="{75d56b6e-c12f-42cc-b174-5de7494092f0}" parentId="{239f4ce2-4c67-4711-957e-404f9c50f86b}">
    <x18tc:text xml:space="preserve">Reabierto</x18tc:text>
  </x18tc:threadedComment>
  <x18tc:threadedComment ref="M6" dT="2026-09-26T16:26:26.00" personId="{a3ad8326-5c3f-4b6e-84e4-dd2888914b9e}" id="{74b4eda7-cdd0-4b2e-85ad-fe96de232603}" done="1">
    <x18tc:text xml:space="preserve">Holgura total de la línea base calculada con el método de la ruta crítica (pasada hacia adelante y hacia atrás), considerando las fechas fijas y las fechas tope de los hitos del Acta. Recalcular si se modifica la red.</x18tc:text>
  </x18tc:threadedComment>
  <x18tc:threadedComment ref="M6" dT="2026-09-27T04:47:04.00" personId="{16d00f5f-9868-4bbe-b2de-c0a850769eaa}" id="{11ac5e1c-12b5-48a7-9e93-8b138e65ed66}" parentId="{74b4eda7-cdd0-4b2e-85ad-fe96de232603}">
    <x18tc:text xml:space="preserve">Marcado como resuelto</x18tc:text>
  </x18tc:threadedComment>
  <x18tc:threadedComment ref="M6" dT="2026-09-27T04:51:08.00" personId="{16d00f5f-9868-4bbe-b2de-c0a850769eaa}" id="{7be6c20e-6b58-40bf-94ff-686b7ee42139}" parentId="{74b4eda7-cdd0-4b2e-85ad-fe96de232603}">
    <x18tc:text xml:space="preserve">Reabierto</x18tc:text>
  </x18tc:threadedComment>
  <x18tc:threadedComment ref="H6" dT="2026-09-26T16:26:26.00" personId="{a3ad8326-5c3f-4b6e-84e4-dd2888914b9e}" id="{0b26021a-6c9a-40ff-8dac-4567b516c601}" done="1">
    <x18tc:text xml:space="preserve">Relación fin-inicio (FI) por defecto. 'FI+nd' indica un retraso de n días laborables. Las actividades de preparación inmediata (convocatoria, inducción, trámites, pruebas técnicas) se programan 'lo más tarde posible' contando días laborables hacia atrás desde la fecha fija del evento.</x18tc:text>
  </x18tc:threadedComment>
  <x18tc:threadedComment ref="H6" dT="2026-09-27T04:41:30.00" personId="{16d00f5f-9868-4bbe-b2de-c0a850769eaa}" id="{14b9336e-00f9-4ad9-aa2a-0a776a40b529}" parentId="{0b26021a-6c9a-40ff-8dac-4567b516c601}">
    <x18tc:text xml:space="preserve">Marcado como resuelto</x18tc:text>
  </x18tc:threadedComment>
  <x18tc:threadedComment ref="H6" dT="2026-09-27T04:51:19.00" personId="{16d00f5f-9868-4bbe-b2de-c0a850769eaa}" id="{343446e8-209f-4631-9719-82fdd78710ff}" parentId="{0b26021a-6c9a-40ff-8dac-4567b516c601}">
    <x18tc:text xml:space="preserve">Reabierto</x18tc:text>
  </x18tc:threadedComment>
  <x18tc:threadedComment ref="H6" dT="2026-09-27T04:53:03.00" personId="{3f5accea-f811-4d3e-8fef-f1c614ec282c}" id="{36ec3d21-2491-45ae-a190-c443c685104e}" parentId="{0b26021a-6c9a-40ff-8dac-4567b516c601}">
    <x18tc:text xml:space="preserve">Marcado como resuelto</x18tc:text>
  </x18tc:threadedComment>
  <x18tc:threadedComment ref="H6" dT="2026-09-27T04:53:24.00" personId="{16d00f5f-9868-4bbe-b2de-c0a850769eaa}" id="{5caa5228-0b92-42be-a268-954b05bb07b9}" parentId="{0b26021a-6c9a-40ff-8dac-4567b516c601}">
    <x18tc:text xml:space="preserve">Reabierto</x18tc:text>
  </x18tc:threadedComment>
  <x18tc:threadedComment ref="L6" dT="2026-09-26T16:26:26.00" personId="{a3ad8326-5c3f-4b6e-84e4-dd2888914b9e}" id="{4bebb543-d194-4686-81f0-17c3d65cbfd0}" done="0">
    <x18tc:text xml:space="preserve">Días laborables que la tarea puede retrasarse sin mover el inicio de su sucesora ni superar la fecha tope del hito del Acta que alimenta. En filas de hito: holgura frente a la fecha tope del Acta. Valor negativo = conflicto (se resalta en rojo).</x18tc:text>
  </x18tc:threadedComment>
  <x18tc:threadedComment ref="L6" dT="2026-09-27T04:47:03.00" personId="{16d00f5f-9868-4bbe-b2de-c0a850769eaa}" id="{f078875b-bda5-4fd3-a9ea-3ab4042325a4}" parentId="{4bebb543-d194-4686-81f0-17c3d65cbfd0}">
    <x18tc:text xml:space="preserve">Marcado como resuelto</x18tc:text>
  </x18tc:threadedComment>
  <x18tc:threadedComment ref="L6" dT="2026-09-27T04:50:58.00" personId="{16d00f5f-9868-4bbe-b2de-c0a850769eaa}" id="{1be59978-292b-408e-9bff-74490cbaaa63}" parentId="{4bebb543-d194-4686-81f0-17c3d65cbfd0}">
    <x18tc:text xml:space="preserve">Reabierto</x18tc:text>
  </x18tc:threadedComment>
  <x18tc:threadedComment ref="L6" dT="2026-09-27T04:53:12.00" personId="{3f5accea-f811-4d3e-8fef-f1c614ec282c}" id="{c229e7a1-7d07-412f-9a6c-aa698ed0db87}" parentId="{4bebb543-d194-4686-81f0-17c3d65cbfd0}">
    <x18tc:text xml:space="preserve">Marcado como resuelto</x18tc:text>
  </x18tc:threadedComment>
  <x18tc:threadedComment ref="L6" dT="2026-09-27T04:53:26.00" personId="{16d00f5f-9868-4bbe-b2de-c0a850769eaa}" id="{e4909b9c-f72f-477d-a845-ed9e8fdc644e}" parentId="{4bebb543-d194-4686-81f0-17c3d65cbfd0}">
    <x18tc:text xml:space="preserve">Reabierto</x18tc:text>
  </x18tc:threadedComment>
  <x18tc:threadedComment ref="F6" dT="2026-09-26T16:26:26.00" personId="{a3ad8326-5c3f-4b6e-84e4-dd2888914b9e}" id="{599f8e85-5690-4837-a799-47ccb32dec10}" done="1">
    <x18tc:text xml:space="preserve">Negrita azul = fecha fija (evento, sesión, reunión de aprobación o presentación comprometida en el Acta). Azul normal = fecha 'no antes de' (ventana planificada). Negro = calculada por fórmula a partir de las predecesoras.</x18tc:text>
  </x18tc:threadedComment>
  <x18tc:threadedComment ref="F6" dT="2026-09-27T04:41:35.00" personId="{16d00f5f-9868-4bbe-b2de-c0a850769eaa}" id="{5b3615f7-3254-4bf7-b98e-05f752314193}" parentId="{599f8e85-5690-4837-a799-47ccb32dec10}">
    <x18tc:text xml:space="preserve">Marcado como resuelto</x18tc:text>
  </x18tc:threadedComment>
  <x18tc:threadedComment ref="F6" dT="2026-09-27T04:51:05.00" personId="{16d00f5f-9868-4bbe-b2de-c0a850769eaa}" id="{0b5fc9c2-9df4-4a5f-b38d-3126b993d897}" parentId="{599f8e85-5690-4837-a799-47ccb32dec10}">
    <x18tc:text xml:space="preserve">Reabierto</x18tc:text>
  </x18tc:threadedComment>
  <x18tc:threadedComment ref="F6" dT="2026-09-27T04:52:59.00" personId="{16d00f5f-9868-4bbe-b2de-c0a850769eaa}" id="{235e440f-4040-4994-8560-44c5a343ca47}" parentId="{599f8e85-5690-4837-a799-47ccb32dec10}">
    <x18tc:text xml:space="preserve">Marcado como resuelto</x18tc:text>
  </x18tc:threadedComment>
  <x18tc:threadedComment ref="L6" dT="2026-09-27T04:53:23.00" personId="{3f5accea-f811-4d3e-8fef-f1c614ec282c}" id="{067826ef-fbfa-40c1-b178-3b1484e20390}" done="0">
    <x18tc:text xml:space="preserve">Días laborables que la tarea puede retrasarse sin mover el inicio de su sucesora ni superar la fecha tope del hito del Acta que alimenta. En filas de hito: holgura frente a la fecha tope del Acta. Valor negativo = conflicto (se resalta en rojo).</x18tc:text>
  </x18tc:threadedComment>
  <x18tc:threadedComment ref="M6" dT="2026-09-27T04:53:45.00" personId="{3f5accea-f811-4d3e-8fef-f1c614ec282c}" id="{25649589-911d-4948-a020-85ba85fe4271}" done="0">
    <x18tc:text xml:space="preserve">Holgura total de la línea base calculada con el método de la ruta crítica (pasada hacia adelante y hacia atrás), considerando las fechas fijas y las fechas tope de los hitos del Acta. Recalcular si se modifica la red.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 outlineLevelRow="4"/>
  <cols>
    <col customWidth="1" min="1" max="1" width="20.0"/>
    <col customWidth="1" min="2" max="2" width="10.0"/>
    <col customWidth="1" min="3" max="3" width="36.0"/>
    <col customWidth="1" min="4" max="4" width="60.0"/>
    <col customWidth="1" min="5" max="5" width="12.71"/>
    <col customWidth="1" min="6" max="7" width="12.0"/>
    <col customWidth="1" min="8" max="8" width="17.0"/>
    <col customWidth="1" min="9" max="9" width="36.0"/>
    <col customWidth="1" min="10" max="10" width="12.0"/>
    <col customWidth="1" min="11" max="11" width="10.71"/>
    <col customWidth="1" min="12" max="12" width="12.14"/>
    <col customWidth="1" min="13" max="13" width="12.29"/>
    <col customWidth="1" min="14" max="14" width="10.14"/>
    <col customWidth="1" min="15" max="15" width="1.57"/>
    <col customWidth="1" min="16" max="65" width="3.14"/>
  </cols>
  <sheetData>
    <row r="1">
      <c r="A1" s="2" t="s">
        <v>2</v>
      </c>
    </row>
    <row r="2">
      <c r="A2" s="6" t="s">
        <v>6</v>
      </c>
    </row>
    <row r="3">
      <c r="A3" s="15" t="str">
        <f t="array" ref="A3">"Fecha de estado (corte): "&amp;TEXT(DAY(FECHA_ESTADO),"00")&amp;"/"&amp;TEXT(MONTH(FECHA_ESTADO),"00")&amp;"/"&amp;YEAR(FECHA_ESTADO)&amp;"   ·   Inicio: "&amp;TEXT(DAY(Calendario!$B$3),"00")&amp;"/"&amp;TEXT(MONTH(Calendario!$B$3),"00")&amp;"/"&amp;YEAR(Calendario!$B$3)&amp;"   ·   Fin: "&amp;TEXT(DAY(FIN_PROY),"00")&amp;"/"&amp;TEXT(MONTH(FIN_PROY),"00")&amp;"/"&amp;YEAR(FIN_PROY)&amp;"   ·   Duración: "&amp;(INDEX(NLAB,MATCH(FIN_PROY,FECHAS,0))-INDEX(NLAB,MATCH(Calendario!$B$3,FECHAS,0))+1)&amp;" días laborables"</f>
        <v>Fecha de estado (corte): 26/09/2026   ·   Inicio: 14/09/2026   ·   Fin: 20/08/2027   ·   Duración: 279 días laborables</v>
      </c>
      <c r="P3" s="18" t="s">
        <v>33</v>
      </c>
      <c r="Q3" s="19"/>
      <c r="R3" s="20"/>
      <c r="S3" s="18" t="s">
        <v>36</v>
      </c>
      <c r="T3" s="19"/>
      <c r="U3" s="19"/>
      <c r="V3" s="20"/>
      <c r="W3" s="18" t="s">
        <v>37</v>
      </c>
      <c r="X3" s="19"/>
      <c r="Y3" s="19"/>
      <c r="Z3" s="19"/>
      <c r="AA3" s="20"/>
      <c r="AB3" s="18" t="s">
        <v>38</v>
      </c>
      <c r="AC3" s="19"/>
      <c r="AD3" s="19"/>
      <c r="AE3" s="20"/>
      <c r="AF3" s="18" t="s">
        <v>39</v>
      </c>
      <c r="AG3" s="19"/>
      <c r="AH3" s="19"/>
      <c r="AI3" s="20"/>
      <c r="AJ3" s="18" t="s">
        <v>40</v>
      </c>
      <c r="AK3" s="19"/>
      <c r="AL3" s="19"/>
      <c r="AM3" s="20"/>
      <c r="AN3" s="18" t="s">
        <v>42</v>
      </c>
      <c r="AO3" s="19"/>
      <c r="AP3" s="19"/>
      <c r="AQ3" s="19"/>
      <c r="AR3" s="20"/>
      <c r="AS3" s="18" t="s">
        <v>43</v>
      </c>
      <c r="AT3" s="19"/>
      <c r="AU3" s="19"/>
      <c r="AV3" s="20"/>
      <c r="AW3" s="18" t="s">
        <v>44</v>
      </c>
      <c r="AX3" s="19"/>
      <c r="AY3" s="19"/>
      <c r="AZ3" s="19"/>
      <c r="BA3" s="20"/>
      <c r="BB3" s="18" t="s">
        <v>45</v>
      </c>
      <c r="BC3" s="19"/>
      <c r="BD3" s="19"/>
      <c r="BE3" s="20"/>
      <c r="BF3" s="18" t="s">
        <v>47</v>
      </c>
      <c r="BG3" s="19"/>
      <c r="BH3" s="19"/>
      <c r="BI3" s="20"/>
      <c r="BJ3" s="18" t="s">
        <v>48</v>
      </c>
      <c r="BK3" s="19"/>
      <c r="BL3" s="19"/>
      <c r="BM3" s="20"/>
    </row>
    <row r="4">
      <c r="C4" s="25" t="s">
        <v>50</v>
      </c>
      <c r="D4" s="26" t="s">
        <v>52</v>
      </c>
      <c r="E4" s="27" t="s">
        <v>54</v>
      </c>
      <c r="F4" s="19"/>
      <c r="G4" s="20"/>
      <c r="H4" s="28" t="s">
        <v>56</v>
      </c>
      <c r="I4" s="29" t="s">
        <v>57</v>
      </c>
      <c r="J4" s="30" t="s">
        <v>58</v>
      </c>
      <c r="K4" s="20"/>
      <c r="P4" s="31" t="s">
        <v>60</v>
      </c>
      <c r="Q4" s="31" t="s">
        <v>61</v>
      </c>
      <c r="R4" s="31" t="s">
        <v>62</v>
      </c>
      <c r="S4" s="31" t="s">
        <v>63</v>
      </c>
      <c r="T4" s="31" t="s">
        <v>64</v>
      </c>
      <c r="U4" s="31" t="s">
        <v>65</v>
      </c>
      <c r="V4" s="31" t="s">
        <v>66</v>
      </c>
      <c r="W4" s="31" t="s">
        <v>67</v>
      </c>
      <c r="X4" s="31" t="s">
        <v>68</v>
      </c>
      <c r="Y4" s="31" t="s">
        <v>69</v>
      </c>
      <c r="Z4" s="31" t="s">
        <v>70</v>
      </c>
      <c r="AA4" s="31" t="s">
        <v>71</v>
      </c>
      <c r="AB4" s="31" t="s">
        <v>72</v>
      </c>
      <c r="AC4" s="31" t="s">
        <v>74</v>
      </c>
      <c r="AD4" s="31" t="s">
        <v>75</v>
      </c>
      <c r="AE4" s="31" t="s">
        <v>76</v>
      </c>
      <c r="AF4" s="31" t="s">
        <v>77</v>
      </c>
      <c r="AG4" s="31" t="s">
        <v>78</v>
      </c>
      <c r="AH4" s="31" t="s">
        <v>79</v>
      </c>
      <c r="AI4" s="31" t="s">
        <v>80</v>
      </c>
      <c r="AJ4" s="31" t="s">
        <v>81</v>
      </c>
      <c r="AK4" s="31" t="s">
        <v>82</v>
      </c>
      <c r="AL4" s="31" t="s">
        <v>83</v>
      </c>
      <c r="AM4" s="31" t="s">
        <v>84</v>
      </c>
      <c r="AN4" s="31" t="s">
        <v>85</v>
      </c>
      <c r="AO4" s="31" t="s">
        <v>86</v>
      </c>
      <c r="AP4" s="31" t="s">
        <v>87</v>
      </c>
      <c r="AQ4" s="31" t="s">
        <v>88</v>
      </c>
      <c r="AR4" s="31" t="s">
        <v>89</v>
      </c>
      <c r="AS4" s="31" t="s">
        <v>90</v>
      </c>
      <c r="AT4" s="31" t="s">
        <v>91</v>
      </c>
      <c r="AU4" s="31" t="s">
        <v>93</v>
      </c>
      <c r="AV4" s="31" t="s">
        <v>94</v>
      </c>
      <c r="AW4" s="31" t="s">
        <v>95</v>
      </c>
      <c r="AX4" s="31" t="s">
        <v>96</v>
      </c>
      <c r="AY4" s="31" t="s">
        <v>97</v>
      </c>
      <c r="AZ4" s="31" t="s">
        <v>98</v>
      </c>
      <c r="BA4" s="31" t="s">
        <v>99</v>
      </c>
      <c r="BB4" s="31" t="s">
        <v>100</v>
      </c>
      <c r="BC4" s="31" t="s">
        <v>101</v>
      </c>
      <c r="BD4" s="31" t="s">
        <v>102</v>
      </c>
      <c r="BE4" s="31" t="s">
        <v>103</v>
      </c>
      <c r="BF4" s="31" t="s">
        <v>104</v>
      </c>
      <c r="BG4" s="31" t="s">
        <v>105</v>
      </c>
      <c r="BH4" s="31" t="s">
        <v>106</v>
      </c>
      <c r="BI4" s="31" t="s">
        <v>108</v>
      </c>
      <c r="BJ4" s="31" t="s">
        <v>109</v>
      </c>
      <c r="BK4" s="31" t="s">
        <v>110</v>
      </c>
      <c r="BL4" s="31" t="s">
        <v>112</v>
      </c>
      <c r="BM4" s="31" t="s">
        <v>113</v>
      </c>
    </row>
    <row r="5" ht="33.75" customHeight="1">
      <c r="N5" s="32" t="s">
        <v>114</v>
      </c>
      <c r="P5" s="33">
        <f>Calendario!$B$3-WEEKDAY(Calendario!$B$3,3)</f>
        <v>46279</v>
      </c>
      <c r="Q5" s="33">
        <f t="shared" ref="Q5:BM5" si="1">P5+7</f>
        <v>46286</v>
      </c>
      <c r="R5" s="33">
        <f t="shared" si="1"/>
        <v>46293</v>
      </c>
      <c r="S5" s="33">
        <f t="shared" si="1"/>
        <v>46300</v>
      </c>
      <c r="T5" s="33">
        <f t="shared" si="1"/>
        <v>46307</v>
      </c>
      <c r="U5" s="33">
        <f t="shared" si="1"/>
        <v>46314</v>
      </c>
      <c r="V5" s="33">
        <f t="shared" si="1"/>
        <v>46321</v>
      </c>
      <c r="W5" s="33">
        <f t="shared" si="1"/>
        <v>46328</v>
      </c>
      <c r="X5" s="33">
        <f t="shared" si="1"/>
        <v>46335</v>
      </c>
      <c r="Y5" s="33">
        <f t="shared" si="1"/>
        <v>46342</v>
      </c>
      <c r="Z5" s="33">
        <f t="shared" si="1"/>
        <v>46349</v>
      </c>
      <c r="AA5" s="33">
        <f t="shared" si="1"/>
        <v>46356</v>
      </c>
      <c r="AB5" s="33">
        <f t="shared" si="1"/>
        <v>46363</v>
      </c>
      <c r="AC5" s="33">
        <f t="shared" si="1"/>
        <v>46370</v>
      </c>
      <c r="AD5" s="33">
        <f t="shared" si="1"/>
        <v>46377</v>
      </c>
      <c r="AE5" s="33">
        <f t="shared" si="1"/>
        <v>46384</v>
      </c>
      <c r="AF5" s="33">
        <f t="shared" si="1"/>
        <v>46391</v>
      </c>
      <c r="AG5" s="33">
        <f t="shared" si="1"/>
        <v>46398</v>
      </c>
      <c r="AH5" s="33">
        <f t="shared" si="1"/>
        <v>46405</v>
      </c>
      <c r="AI5" s="33">
        <f t="shared" si="1"/>
        <v>46412</v>
      </c>
      <c r="AJ5" s="33">
        <f t="shared" si="1"/>
        <v>46419</v>
      </c>
      <c r="AK5" s="33">
        <f t="shared" si="1"/>
        <v>46426</v>
      </c>
      <c r="AL5" s="33">
        <f t="shared" si="1"/>
        <v>46433</v>
      </c>
      <c r="AM5" s="33">
        <f t="shared" si="1"/>
        <v>46440</v>
      </c>
      <c r="AN5" s="33">
        <f t="shared" si="1"/>
        <v>46447</v>
      </c>
      <c r="AO5" s="33">
        <f t="shared" si="1"/>
        <v>46454</v>
      </c>
      <c r="AP5" s="33">
        <f t="shared" si="1"/>
        <v>46461</v>
      </c>
      <c r="AQ5" s="33">
        <f t="shared" si="1"/>
        <v>46468</v>
      </c>
      <c r="AR5" s="33">
        <f t="shared" si="1"/>
        <v>46475</v>
      </c>
      <c r="AS5" s="33">
        <f t="shared" si="1"/>
        <v>46482</v>
      </c>
      <c r="AT5" s="33">
        <f t="shared" si="1"/>
        <v>46489</v>
      </c>
      <c r="AU5" s="33">
        <f t="shared" si="1"/>
        <v>46496</v>
      </c>
      <c r="AV5" s="33">
        <f t="shared" si="1"/>
        <v>46503</v>
      </c>
      <c r="AW5" s="33">
        <f t="shared" si="1"/>
        <v>46510</v>
      </c>
      <c r="AX5" s="33">
        <f t="shared" si="1"/>
        <v>46517</v>
      </c>
      <c r="AY5" s="33">
        <f t="shared" si="1"/>
        <v>46524</v>
      </c>
      <c r="AZ5" s="33">
        <f t="shared" si="1"/>
        <v>46531</v>
      </c>
      <c r="BA5" s="33">
        <f t="shared" si="1"/>
        <v>46538</v>
      </c>
      <c r="BB5" s="33">
        <f t="shared" si="1"/>
        <v>46545</v>
      </c>
      <c r="BC5" s="33">
        <f t="shared" si="1"/>
        <v>46552</v>
      </c>
      <c r="BD5" s="33">
        <f t="shared" si="1"/>
        <v>46559</v>
      </c>
      <c r="BE5" s="33">
        <f t="shared" si="1"/>
        <v>46566</v>
      </c>
      <c r="BF5" s="33">
        <f t="shared" si="1"/>
        <v>46573</v>
      </c>
      <c r="BG5" s="33">
        <f t="shared" si="1"/>
        <v>46580</v>
      </c>
      <c r="BH5" s="33">
        <f t="shared" si="1"/>
        <v>46587</v>
      </c>
      <c r="BI5" s="33">
        <f t="shared" si="1"/>
        <v>46594</v>
      </c>
      <c r="BJ5" s="33">
        <f t="shared" si="1"/>
        <v>46601</v>
      </c>
      <c r="BK5" s="33">
        <f t="shared" si="1"/>
        <v>46608</v>
      </c>
      <c r="BL5" s="33">
        <f t="shared" si="1"/>
        <v>46615</v>
      </c>
      <c r="BM5" s="33">
        <f t="shared" si="1"/>
        <v>46622</v>
      </c>
    </row>
    <row r="6">
      <c r="A6" s="34" t="s">
        <v>122</v>
      </c>
      <c r="B6" s="34" t="s">
        <v>123</v>
      </c>
      <c r="C6" s="34" t="s">
        <v>124</v>
      </c>
      <c r="D6" s="34" t="s">
        <v>125</v>
      </c>
      <c r="E6" s="34" t="s">
        <v>126</v>
      </c>
      <c r="F6" s="34" t="s">
        <v>127</v>
      </c>
      <c r="G6" s="34" t="s">
        <v>128</v>
      </c>
      <c r="H6" s="34" t="s">
        <v>129</v>
      </c>
      <c r="I6" s="34" t="s">
        <v>130</v>
      </c>
      <c r="J6" s="34" t="s">
        <v>131</v>
      </c>
      <c r="K6" s="34" t="s">
        <v>132</v>
      </c>
      <c r="L6" s="34" t="s">
        <v>133</v>
      </c>
      <c r="M6" s="34" t="s">
        <v>134</v>
      </c>
      <c r="N6" s="34" t="s">
        <v>135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</row>
    <row r="7">
      <c r="A7" s="36" t="s">
        <v>136</v>
      </c>
      <c r="B7" s="36" t="s">
        <v>138</v>
      </c>
      <c r="C7" s="37" t="s">
        <v>139</v>
      </c>
      <c r="D7" s="37"/>
      <c r="E7" s="36">
        <f t="array" ref="E7">INDEX(NLAB,MATCH(G7,FECHAS,0))-INDEX(NLAB,MATCH(F7,FECHAS,0))+1</f>
        <v>279</v>
      </c>
      <c r="F7" s="38">
        <f>MIN(F8:F29)</f>
        <v>46279</v>
      </c>
      <c r="G7" s="38">
        <f>MAX(G8:G29)</f>
        <v>46619</v>
      </c>
      <c r="H7" s="39"/>
      <c r="I7" s="37"/>
      <c r="J7" s="36" t="str">
        <f>IF(K7&gt;=1,"Completado",IF(AND(G7&lt;FECHA_ESTADO,K7&lt;1),"Atrasado",IF(K7&gt;0,"En progreso","No iniciado")))</f>
        <v>En progreso</v>
      </c>
      <c r="K7" s="40">
        <f>IFERROR(AVERAGE(K8:K29),0)</f>
        <v>0.09090909091</v>
      </c>
      <c r="L7" s="36"/>
      <c r="M7" s="36"/>
      <c r="N7" s="36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</row>
    <row r="8" ht="27.0" customHeight="1" outlineLevel="1">
      <c r="A8" s="42" t="s">
        <v>141</v>
      </c>
      <c r="B8" s="42" t="s">
        <v>142</v>
      </c>
      <c r="C8" s="43" t="s">
        <v>143</v>
      </c>
      <c r="D8" s="44" t="s">
        <v>144</v>
      </c>
      <c r="E8" s="45">
        <v>0.0</v>
      </c>
      <c r="F8" s="46">
        <f>MAX($G$32)</f>
        <v>46279</v>
      </c>
      <c r="G8" s="46">
        <f t="shared" ref="G8:G17" si="3">F8</f>
        <v>46279</v>
      </c>
      <c r="H8" s="47" t="s">
        <v>145</v>
      </c>
      <c r="I8" s="43" t="s">
        <v>147</v>
      </c>
      <c r="J8" s="42" t="str">
        <f t="array" ref="J8">IF(K8&gt;=1,"Cumplido",IF(FECHA_ESTADO&gt;DATE(2026,9,14),"Atrasado",IF(INDEX(NLAB,MATCH(DATE(2026,9,14),FECHAS,0))-INDEX(NLAB,MATCH(F8,FECHAS,0))&lt;0,"En riesgo","Pendiente")))</f>
        <v>Cumplido</v>
      </c>
      <c r="K8" s="48">
        <f>IF(MIN($K$32)&gt;=1,1,0)</f>
        <v>1</v>
      </c>
      <c r="L8" s="42">
        <f t="array" ref="L8">INDEX(NLAB,MATCH(DATE(2026,9,14),FECHAS,0))-INDEX(NLAB,MATCH(F8,FECHAS,0))</f>
        <v>0</v>
      </c>
      <c r="M8" s="45" t="s">
        <v>148</v>
      </c>
      <c r="N8" s="42" t="s">
        <v>149</v>
      </c>
      <c r="P8" s="49" t="str">
        <f t="shared" ref="P8:BL8" si="2">IF(AND($F8&gt;=P$5,$F8&lt;=P$5+6),"*","")</f>
        <v>*</v>
      </c>
      <c r="Q8" s="49" t="str">
        <f t="shared" si="2"/>
        <v/>
      </c>
      <c r="R8" s="49" t="str">
        <f t="shared" si="2"/>
        <v/>
      </c>
      <c r="S8" s="49" t="str">
        <f t="shared" si="2"/>
        <v/>
      </c>
      <c r="T8" s="49" t="str">
        <f t="shared" si="2"/>
        <v/>
      </c>
      <c r="U8" s="49" t="str">
        <f t="shared" si="2"/>
        <v/>
      </c>
      <c r="V8" s="49" t="str">
        <f t="shared" si="2"/>
        <v/>
      </c>
      <c r="W8" s="49" t="str">
        <f t="shared" si="2"/>
        <v/>
      </c>
      <c r="X8" s="49" t="str">
        <f t="shared" si="2"/>
        <v/>
      </c>
      <c r="Y8" s="49" t="str">
        <f t="shared" si="2"/>
        <v/>
      </c>
      <c r="Z8" s="49" t="str">
        <f t="shared" si="2"/>
        <v/>
      </c>
      <c r="AA8" s="49" t="str">
        <f t="shared" si="2"/>
        <v/>
      </c>
      <c r="AB8" s="49" t="str">
        <f t="shared" si="2"/>
        <v/>
      </c>
      <c r="AC8" s="49" t="str">
        <f t="shared" si="2"/>
        <v/>
      </c>
      <c r="AD8" s="49" t="str">
        <f t="shared" si="2"/>
        <v/>
      </c>
      <c r="AE8" s="49" t="str">
        <f t="shared" si="2"/>
        <v/>
      </c>
      <c r="AF8" s="49" t="str">
        <f t="shared" si="2"/>
        <v/>
      </c>
      <c r="AG8" s="49" t="str">
        <f t="shared" si="2"/>
        <v/>
      </c>
      <c r="AH8" s="49" t="str">
        <f t="shared" si="2"/>
        <v/>
      </c>
      <c r="AI8" s="49" t="str">
        <f t="shared" si="2"/>
        <v/>
      </c>
      <c r="AJ8" s="49" t="str">
        <f t="shared" si="2"/>
        <v/>
      </c>
      <c r="AK8" s="49" t="str">
        <f t="shared" si="2"/>
        <v/>
      </c>
      <c r="AL8" s="49" t="str">
        <f t="shared" si="2"/>
        <v/>
      </c>
      <c r="AM8" s="49" t="str">
        <f t="shared" si="2"/>
        <v/>
      </c>
      <c r="AN8" s="49" t="str">
        <f t="shared" si="2"/>
        <v/>
      </c>
      <c r="AO8" s="49" t="str">
        <f t="shared" si="2"/>
        <v/>
      </c>
      <c r="AP8" s="49" t="str">
        <f t="shared" si="2"/>
        <v/>
      </c>
      <c r="AQ8" s="49" t="str">
        <f t="shared" si="2"/>
        <v/>
      </c>
      <c r="AR8" s="49" t="str">
        <f t="shared" si="2"/>
        <v/>
      </c>
      <c r="AS8" s="49" t="str">
        <f t="shared" si="2"/>
        <v/>
      </c>
      <c r="AT8" s="49" t="str">
        <f t="shared" si="2"/>
        <v/>
      </c>
      <c r="AU8" s="49" t="str">
        <f t="shared" si="2"/>
        <v/>
      </c>
      <c r="AV8" s="49" t="str">
        <f t="shared" si="2"/>
        <v/>
      </c>
      <c r="AW8" s="49" t="str">
        <f t="shared" si="2"/>
        <v/>
      </c>
      <c r="AX8" s="49" t="str">
        <f t="shared" si="2"/>
        <v/>
      </c>
      <c r="AY8" s="49" t="str">
        <f t="shared" si="2"/>
        <v/>
      </c>
      <c r="AZ8" s="49" t="str">
        <f t="shared" si="2"/>
        <v/>
      </c>
      <c r="BA8" s="49" t="str">
        <f t="shared" si="2"/>
        <v/>
      </c>
      <c r="BB8" s="49" t="str">
        <f t="shared" si="2"/>
        <v/>
      </c>
      <c r="BC8" s="49" t="str">
        <f t="shared" si="2"/>
        <v/>
      </c>
      <c r="BD8" s="49" t="str">
        <f t="shared" si="2"/>
        <v/>
      </c>
      <c r="BE8" s="49" t="str">
        <f t="shared" si="2"/>
        <v/>
      </c>
      <c r="BF8" s="49" t="str">
        <f t="shared" si="2"/>
        <v/>
      </c>
      <c r="BG8" s="49" t="str">
        <f t="shared" si="2"/>
        <v/>
      </c>
      <c r="BH8" s="49" t="str">
        <f t="shared" si="2"/>
        <v/>
      </c>
      <c r="BI8" s="49" t="str">
        <f t="shared" si="2"/>
        <v/>
      </c>
      <c r="BJ8" s="49" t="str">
        <f t="shared" si="2"/>
        <v/>
      </c>
      <c r="BK8" s="49" t="str">
        <f t="shared" si="2"/>
        <v/>
      </c>
      <c r="BL8" s="49" t="str">
        <f t="shared" si="2"/>
        <v/>
      </c>
      <c r="BM8" s="49" t="str">
        <f>IF(AND($F8&gt;=BM$5,$F8&lt;=BM$5+6),"◆","")</f>
        <v/>
      </c>
    </row>
    <row r="9" ht="27.0" customHeight="1" outlineLevel="1">
      <c r="A9" s="42" t="s">
        <v>141</v>
      </c>
      <c r="B9" s="42" t="s">
        <v>154</v>
      </c>
      <c r="C9" s="43" t="s">
        <v>155</v>
      </c>
      <c r="D9" s="44" t="s">
        <v>156</v>
      </c>
      <c r="E9" s="45">
        <v>0.0</v>
      </c>
      <c r="F9" s="46">
        <f>MAX($G$42)</f>
        <v>46286</v>
      </c>
      <c r="G9" s="46">
        <f t="shared" si="3"/>
        <v>46286</v>
      </c>
      <c r="H9" s="47" t="s">
        <v>157</v>
      </c>
      <c r="I9" s="43" t="s">
        <v>147</v>
      </c>
      <c r="J9" s="42" t="str">
        <f t="array" ref="J9">IF(K9&gt;=1,"Cumplido",IF(FECHA_ESTADO&gt;DATE(2026,9,21),"Atrasado",IF(INDEX(NLAB,MATCH(DATE(2026,9,21),FECHAS,0))-INDEX(NLAB,MATCH(F9,FECHAS,0))&lt;0,"En riesgo","Pendiente")))</f>
        <v>Cumplido</v>
      </c>
      <c r="K9" s="48">
        <f>IF(MIN($K$42)&gt;=1,1,0)</f>
        <v>1</v>
      </c>
      <c r="L9" s="42">
        <f t="array" ref="L9">INDEX(NLAB,MATCH(DATE(2026,9,21),FECHAS,0))-INDEX(NLAB,MATCH(F9,FECHAS,0))</f>
        <v>0</v>
      </c>
      <c r="M9" s="45" t="s">
        <v>148</v>
      </c>
      <c r="N9" s="42" t="s">
        <v>149</v>
      </c>
      <c r="P9" s="49" t="str">
        <f t="shared" ref="P9:P17" si="5">IF(AND($F9&gt;=P$5,$F9&lt;=P$5+6),"◆","")</f>
        <v/>
      </c>
      <c r="Q9" s="49" t="str">
        <f>IF(AND($F9&gt;=Q$5,$F9&lt;=Q$5+6),"*","")</f>
        <v>*</v>
      </c>
      <c r="R9" s="49" t="str">
        <f t="shared" ref="R9:BM9" si="4">IF(AND($F9&gt;=R$5,$F9&lt;=R$5+6),"◆","")</f>
        <v/>
      </c>
      <c r="S9" s="49" t="str">
        <f t="shared" si="4"/>
        <v/>
      </c>
      <c r="T9" s="49" t="str">
        <f t="shared" si="4"/>
        <v/>
      </c>
      <c r="U9" s="49" t="str">
        <f t="shared" si="4"/>
        <v/>
      </c>
      <c r="V9" s="49" t="str">
        <f t="shared" si="4"/>
        <v/>
      </c>
      <c r="W9" s="49" t="str">
        <f t="shared" si="4"/>
        <v/>
      </c>
      <c r="X9" s="49" t="str">
        <f t="shared" si="4"/>
        <v/>
      </c>
      <c r="Y9" s="49" t="str">
        <f t="shared" si="4"/>
        <v/>
      </c>
      <c r="Z9" s="49" t="str">
        <f t="shared" si="4"/>
        <v/>
      </c>
      <c r="AA9" s="49" t="str">
        <f t="shared" si="4"/>
        <v/>
      </c>
      <c r="AB9" s="49" t="str">
        <f t="shared" si="4"/>
        <v/>
      </c>
      <c r="AC9" s="49" t="str">
        <f t="shared" si="4"/>
        <v/>
      </c>
      <c r="AD9" s="49" t="str">
        <f t="shared" si="4"/>
        <v/>
      </c>
      <c r="AE9" s="49" t="str">
        <f t="shared" si="4"/>
        <v/>
      </c>
      <c r="AF9" s="49" t="str">
        <f t="shared" si="4"/>
        <v/>
      </c>
      <c r="AG9" s="49" t="str">
        <f t="shared" si="4"/>
        <v/>
      </c>
      <c r="AH9" s="49" t="str">
        <f t="shared" si="4"/>
        <v/>
      </c>
      <c r="AI9" s="49" t="str">
        <f t="shared" si="4"/>
        <v/>
      </c>
      <c r="AJ9" s="49" t="str">
        <f t="shared" si="4"/>
        <v/>
      </c>
      <c r="AK9" s="49" t="str">
        <f t="shared" si="4"/>
        <v/>
      </c>
      <c r="AL9" s="49" t="str">
        <f t="shared" si="4"/>
        <v/>
      </c>
      <c r="AM9" s="49" t="str">
        <f t="shared" si="4"/>
        <v/>
      </c>
      <c r="AN9" s="49" t="str">
        <f t="shared" si="4"/>
        <v/>
      </c>
      <c r="AO9" s="49" t="str">
        <f t="shared" si="4"/>
        <v/>
      </c>
      <c r="AP9" s="49" t="str">
        <f t="shared" si="4"/>
        <v/>
      </c>
      <c r="AQ9" s="49" t="str">
        <f t="shared" si="4"/>
        <v/>
      </c>
      <c r="AR9" s="49" t="str">
        <f t="shared" si="4"/>
        <v/>
      </c>
      <c r="AS9" s="49" t="str">
        <f t="shared" si="4"/>
        <v/>
      </c>
      <c r="AT9" s="49" t="str">
        <f t="shared" si="4"/>
        <v/>
      </c>
      <c r="AU9" s="49" t="str">
        <f t="shared" si="4"/>
        <v/>
      </c>
      <c r="AV9" s="49" t="str">
        <f t="shared" si="4"/>
        <v/>
      </c>
      <c r="AW9" s="49" t="str">
        <f t="shared" si="4"/>
        <v/>
      </c>
      <c r="AX9" s="49" t="str">
        <f t="shared" si="4"/>
        <v/>
      </c>
      <c r="AY9" s="49" t="str">
        <f t="shared" si="4"/>
        <v/>
      </c>
      <c r="AZ9" s="49" t="str">
        <f t="shared" si="4"/>
        <v/>
      </c>
      <c r="BA9" s="49" t="str">
        <f t="shared" si="4"/>
        <v/>
      </c>
      <c r="BB9" s="49" t="str">
        <f t="shared" si="4"/>
        <v/>
      </c>
      <c r="BC9" s="49" t="str">
        <f t="shared" si="4"/>
        <v/>
      </c>
      <c r="BD9" s="49" t="str">
        <f t="shared" si="4"/>
        <v/>
      </c>
      <c r="BE9" s="49" t="str">
        <f t="shared" si="4"/>
        <v/>
      </c>
      <c r="BF9" s="49" t="str">
        <f t="shared" si="4"/>
        <v/>
      </c>
      <c r="BG9" s="49" t="str">
        <f t="shared" si="4"/>
        <v/>
      </c>
      <c r="BH9" s="49" t="str">
        <f t="shared" si="4"/>
        <v/>
      </c>
      <c r="BI9" s="49" t="str">
        <f t="shared" si="4"/>
        <v/>
      </c>
      <c r="BJ9" s="49" t="str">
        <f t="shared" si="4"/>
        <v/>
      </c>
      <c r="BK9" s="49" t="str">
        <f t="shared" si="4"/>
        <v/>
      </c>
      <c r="BL9" s="49" t="str">
        <f t="shared" si="4"/>
        <v/>
      </c>
      <c r="BM9" s="49" t="str">
        <f t="shared" si="4"/>
        <v/>
      </c>
    </row>
    <row r="10" ht="15.75" customHeight="1" outlineLevel="1">
      <c r="A10" s="50" t="s">
        <v>160</v>
      </c>
      <c r="B10" s="50" t="s">
        <v>161</v>
      </c>
      <c r="C10" s="51" t="s">
        <v>162</v>
      </c>
      <c r="D10" s="52" t="s">
        <v>163</v>
      </c>
      <c r="E10" s="53">
        <v>0.0</v>
      </c>
      <c r="F10" s="54">
        <f>MAX($G$47)</f>
        <v>46325</v>
      </c>
      <c r="G10" s="54">
        <f t="shared" si="3"/>
        <v>46325</v>
      </c>
      <c r="H10" s="55" t="s">
        <v>165</v>
      </c>
      <c r="I10" s="51" t="s">
        <v>147</v>
      </c>
      <c r="J10" s="50" t="str">
        <f t="array" ref="J10">IF(K10&gt;=1,"Cumplido",IF(FECHA_ESTADO&gt;DATE(2026,10,30),"Atrasado",IF(INDEX(NLAB,MATCH(DATE(2026,10,30),FECHAS,0))-INDEX(NLAB,MATCH(F10,FECHAS,0))&lt;0,"En riesgo","Pendiente")))</f>
        <v>Pendiente</v>
      </c>
      <c r="K10" s="56">
        <f>IF(MIN($K$47)&gt;=1,1,0)</f>
        <v>0</v>
      </c>
      <c r="L10" s="50">
        <f t="array" ref="L10">INDEX(NLAB,MATCH(DATE(2026,10,30),FECHAS,0))-INDEX(NLAB,MATCH(F10,FECHAS,0))</f>
        <v>0</v>
      </c>
      <c r="M10" s="53" t="s">
        <v>148</v>
      </c>
      <c r="N10" s="50" t="s">
        <v>149</v>
      </c>
      <c r="P10" s="49" t="str">
        <f t="shared" si="5"/>
        <v/>
      </c>
      <c r="Q10" s="49" t="str">
        <f t="shared" ref="Q10:U10" si="6">IF(AND($F10&gt;=Q$5,$F10&lt;=Q$5+6),"◆","")</f>
        <v/>
      </c>
      <c r="R10" s="49" t="str">
        <f t="shared" si="6"/>
        <v/>
      </c>
      <c r="S10" s="49" t="str">
        <f t="shared" si="6"/>
        <v/>
      </c>
      <c r="T10" s="49" t="str">
        <f t="shared" si="6"/>
        <v/>
      </c>
      <c r="U10" s="49" t="str">
        <f t="shared" si="6"/>
        <v/>
      </c>
      <c r="V10" s="49" t="str">
        <f>IF(AND($F10&gt;=V$5,$F10&lt;=V$5+6),"*","")</f>
        <v>*</v>
      </c>
      <c r="W10" s="49" t="str">
        <f t="shared" ref="W10:BM10" si="7">IF(AND($F10&gt;=W$5,$F10&lt;=W$5+6),"◆","")</f>
        <v/>
      </c>
      <c r="X10" s="49" t="str">
        <f t="shared" si="7"/>
        <v/>
      </c>
      <c r="Y10" s="49" t="str">
        <f t="shared" si="7"/>
        <v/>
      </c>
      <c r="Z10" s="49" t="str">
        <f t="shared" si="7"/>
        <v/>
      </c>
      <c r="AA10" s="49" t="str">
        <f t="shared" si="7"/>
        <v/>
      </c>
      <c r="AB10" s="49" t="str">
        <f t="shared" si="7"/>
        <v/>
      </c>
      <c r="AC10" s="49" t="str">
        <f t="shared" si="7"/>
        <v/>
      </c>
      <c r="AD10" s="49" t="str">
        <f t="shared" si="7"/>
        <v/>
      </c>
      <c r="AE10" s="49" t="str">
        <f t="shared" si="7"/>
        <v/>
      </c>
      <c r="AF10" s="49" t="str">
        <f t="shared" si="7"/>
        <v/>
      </c>
      <c r="AG10" s="49" t="str">
        <f t="shared" si="7"/>
        <v/>
      </c>
      <c r="AH10" s="49" t="str">
        <f t="shared" si="7"/>
        <v/>
      </c>
      <c r="AI10" s="49" t="str">
        <f t="shared" si="7"/>
        <v/>
      </c>
      <c r="AJ10" s="49" t="str">
        <f t="shared" si="7"/>
        <v/>
      </c>
      <c r="AK10" s="49" t="str">
        <f t="shared" si="7"/>
        <v/>
      </c>
      <c r="AL10" s="49" t="str">
        <f t="shared" si="7"/>
        <v/>
      </c>
      <c r="AM10" s="49" t="str">
        <f t="shared" si="7"/>
        <v/>
      </c>
      <c r="AN10" s="49" t="str">
        <f t="shared" si="7"/>
        <v/>
      </c>
      <c r="AO10" s="49" t="str">
        <f t="shared" si="7"/>
        <v/>
      </c>
      <c r="AP10" s="49" t="str">
        <f t="shared" si="7"/>
        <v/>
      </c>
      <c r="AQ10" s="49" t="str">
        <f t="shared" si="7"/>
        <v/>
      </c>
      <c r="AR10" s="49" t="str">
        <f t="shared" si="7"/>
        <v/>
      </c>
      <c r="AS10" s="49" t="str">
        <f t="shared" si="7"/>
        <v/>
      </c>
      <c r="AT10" s="49" t="str">
        <f t="shared" si="7"/>
        <v/>
      </c>
      <c r="AU10" s="49" t="str">
        <f t="shared" si="7"/>
        <v/>
      </c>
      <c r="AV10" s="49" t="str">
        <f t="shared" si="7"/>
        <v/>
      </c>
      <c r="AW10" s="49" t="str">
        <f t="shared" si="7"/>
        <v/>
      </c>
      <c r="AX10" s="49" t="str">
        <f t="shared" si="7"/>
        <v/>
      </c>
      <c r="AY10" s="49" t="str">
        <f t="shared" si="7"/>
        <v/>
      </c>
      <c r="AZ10" s="49" t="str">
        <f t="shared" si="7"/>
        <v/>
      </c>
      <c r="BA10" s="49" t="str">
        <f t="shared" si="7"/>
        <v/>
      </c>
      <c r="BB10" s="49" t="str">
        <f t="shared" si="7"/>
        <v/>
      </c>
      <c r="BC10" s="49" t="str">
        <f t="shared" si="7"/>
        <v/>
      </c>
      <c r="BD10" s="49" t="str">
        <f t="shared" si="7"/>
        <v/>
      </c>
      <c r="BE10" s="49" t="str">
        <f t="shared" si="7"/>
        <v/>
      </c>
      <c r="BF10" s="49" t="str">
        <f t="shared" si="7"/>
        <v/>
      </c>
      <c r="BG10" s="49" t="str">
        <f t="shared" si="7"/>
        <v/>
      </c>
      <c r="BH10" s="49" t="str">
        <f t="shared" si="7"/>
        <v/>
      </c>
      <c r="BI10" s="49" t="str">
        <f t="shared" si="7"/>
        <v/>
      </c>
      <c r="BJ10" s="49" t="str">
        <f t="shared" si="7"/>
        <v/>
      </c>
      <c r="BK10" s="49" t="str">
        <f t="shared" si="7"/>
        <v/>
      </c>
      <c r="BL10" s="49" t="str">
        <f t="shared" si="7"/>
        <v/>
      </c>
      <c r="BM10" s="49" t="str">
        <f t="shared" si="7"/>
        <v/>
      </c>
    </row>
    <row r="11" ht="27.0" customHeight="1" outlineLevel="1">
      <c r="A11" s="50" t="s">
        <v>160</v>
      </c>
      <c r="B11" s="50" t="s">
        <v>167</v>
      </c>
      <c r="C11" s="51" t="s">
        <v>168</v>
      </c>
      <c r="D11" s="52" t="s">
        <v>169</v>
      </c>
      <c r="E11" s="53">
        <v>0.0</v>
      </c>
      <c r="F11" s="54">
        <f>MAX($G$77)</f>
        <v>46332</v>
      </c>
      <c r="G11" s="54">
        <f t="shared" si="3"/>
        <v>46332</v>
      </c>
      <c r="H11" s="55" t="s">
        <v>170</v>
      </c>
      <c r="I11" s="51" t="s">
        <v>147</v>
      </c>
      <c r="J11" s="50" t="str">
        <f t="array" ref="J11">IF(K11&gt;=1,"Cumplido",IF(FECHA_ESTADO&gt;DATE(2026,11,6),"Atrasado",IF(INDEX(NLAB,MATCH(DATE(2026,11,6),FECHAS,0))-INDEX(NLAB,MATCH(F11,FECHAS,0))&lt;0,"En riesgo","Pendiente")))</f>
        <v>Pendiente</v>
      </c>
      <c r="K11" s="56">
        <f>IF(MIN($K$77)&gt;=1,1,0)</f>
        <v>0</v>
      </c>
      <c r="L11" s="50">
        <f t="array" ref="L11">INDEX(NLAB,MATCH(DATE(2026,11,6),FECHAS,0))-INDEX(NLAB,MATCH(F11,FECHAS,0))</f>
        <v>0</v>
      </c>
      <c r="M11" s="53" t="s">
        <v>148</v>
      </c>
      <c r="N11" s="50" t="s">
        <v>149</v>
      </c>
      <c r="P11" s="49" t="str">
        <f t="shared" si="5"/>
        <v/>
      </c>
      <c r="Q11" s="49" t="str">
        <f t="shared" ref="Q11:V11" si="8">IF(AND($F11&gt;=Q$5,$F11&lt;=Q$5+6),"◆","")</f>
        <v/>
      </c>
      <c r="R11" s="49" t="str">
        <f t="shared" si="8"/>
        <v/>
      </c>
      <c r="S11" s="49" t="str">
        <f t="shared" si="8"/>
        <v/>
      </c>
      <c r="T11" s="49" t="str">
        <f t="shared" si="8"/>
        <v/>
      </c>
      <c r="U11" s="49" t="str">
        <f t="shared" si="8"/>
        <v/>
      </c>
      <c r="V11" s="49" t="str">
        <f t="shared" si="8"/>
        <v/>
      </c>
      <c r="W11" s="49" t="str">
        <f>IF(AND($F11&gt;=W$5,$F11&lt;=W$5+6),"*","")</f>
        <v>*</v>
      </c>
      <c r="X11" s="49" t="str">
        <f t="shared" ref="X11:BM11" si="9">IF(AND($F11&gt;=X$5,$F11&lt;=X$5+6),"◆","")</f>
        <v/>
      </c>
      <c r="Y11" s="49" t="str">
        <f t="shared" si="9"/>
        <v/>
      </c>
      <c r="Z11" s="49" t="str">
        <f t="shared" si="9"/>
        <v/>
      </c>
      <c r="AA11" s="49" t="str">
        <f t="shared" si="9"/>
        <v/>
      </c>
      <c r="AB11" s="49" t="str">
        <f t="shared" si="9"/>
        <v/>
      </c>
      <c r="AC11" s="49" t="str">
        <f t="shared" si="9"/>
        <v/>
      </c>
      <c r="AD11" s="49" t="str">
        <f t="shared" si="9"/>
        <v/>
      </c>
      <c r="AE11" s="49" t="str">
        <f t="shared" si="9"/>
        <v/>
      </c>
      <c r="AF11" s="49" t="str">
        <f t="shared" si="9"/>
        <v/>
      </c>
      <c r="AG11" s="49" t="str">
        <f t="shared" si="9"/>
        <v/>
      </c>
      <c r="AH11" s="49" t="str">
        <f t="shared" si="9"/>
        <v/>
      </c>
      <c r="AI11" s="49" t="str">
        <f t="shared" si="9"/>
        <v/>
      </c>
      <c r="AJ11" s="49" t="str">
        <f t="shared" si="9"/>
        <v/>
      </c>
      <c r="AK11" s="49" t="str">
        <f t="shared" si="9"/>
        <v/>
      </c>
      <c r="AL11" s="49" t="str">
        <f t="shared" si="9"/>
        <v/>
      </c>
      <c r="AM11" s="49" t="str">
        <f t="shared" si="9"/>
        <v/>
      </c>
      <c r="AN11" s="49" t="str">
        <f t="shared" si="9"/>
        <v/>
      </c>
      <c r="AO11" s="49" t="str">
        <f t="shared" si="9"/>
        <v/>
      </c>
      <c r="AP11" s="49" t="str">
        <f t="shared" si="9"/>
        <v/>
      </c>
      <c r="AQ11" s="49" t="str">
        <f t="shared" si="9"/>
        <v/>
      </c>
      <c r="AR11" s="49" t="str">
        <f t="shared" si="9"/>
        <v/>
      </c>
      <c r="AS11" s="49" t="str">
        <f t="shared" si="9"/>
        <v/>
      </c>
      <c r="AT11" s="49" t="str">
        <f t="shared" si="9"/>
        <v/>
      </c>
      <c r="AU11" s="49" t="str">
        <f t="shared" si="9"/>
        <v/>
      </c>
      <c r="AV11" s="49" t="str">
        <f t="shared" si="9"/>
        <v/>
      </c>
      <c r="AW11" s="49" t="str">
        <f t="shared" si="9"/>
        <v/>
      </c>
      <c r="AX11" s="49" t="str">
        <f t="shared" si="9"/>
        <v/>
      </c>
      <c r="AY11" s="49" t="str">
        <f t="shared" si="9"/>
        <v/>
      </c>
      <c r="AZ11" s="49" t="str">
        <f t="shared" si="9"/>
        <v/>
      </c>
      <c r="BA11" s="49" t="str">
        <f t="shared" si="9"/>
        <v/>
      </c>
      <c r="BB11" s="49" t="str">
        <f t="shared" si="9"/>
        <v/>
      </c>
      <c r="BC11" s="49" t="str">
        <f t="shared" si="9"/>
        <v/>
      </c>
      <c r="BD11" s="49" t="str">
        <f t="shared" si="9"/>
        <v/>
      </c>
      <c r="BE11" s="49" t="str">
        <f t="shared" si="9"/>
        <v/>
      </c>
      <c r="BF11" s="49" t="str">
        <f t="shared" si="9"/>
        <v/>
      </c>
      <c r="BG11" s="49" t="str">
        <f t="shared" si="9"/>
        <v/>
      </c>
      <c r="BH11" s="49" t="str">
        <f t="shared" si="9"/>
        <v/>
      </c>
      <c r="BI11" s="49" t="str">
        <f t="shared" si="9"/>
        <v/>
      </c>
      <c r="BJ11" s="49" t="str">
        <f t="shared" si="9"/>
        <v/>
      </c>
      <c r="BK11" s="49" t="str">
        <f t="shared" si="9"/>
        <v/>
      </c>
      <c r="BL11" s="49" t="str">
        <f t="shared" si="9"/>
        <v/>
      </c>
      <c r="BM11" s="49" t="str">
        <f t="shared" si="9"/>
        <v/>
      </c>
    </row>
    <row r="12" ht="27.0" customHeight="1" outlineLevel="1">
      <c r="A12" s="50" t="s">
        <v>160</v>
      </c>
      <c r="B12" s="50" t="s">
        <v>172</v>
      </c>
      <c r="C12" s="51" t="s">
        <v>173</v>
      </c>
      <c r="D12" s="52" t="s">
        <v>174</v>
      </c>
      <c r="E12" s="53">
        <v>0.0</v>
      </c>
      <c r="F12" s="54">
        <f>MAX($G$113,$G$143,$G$173,$G$204,$G$231,$G$259,$G$287,$G$288)</f>
        <v>46402</v>
      </c>
      <c r="G12" s="54">
        <f t="shared" si="3"/>
        <v>46402</v>
      </c>
      <c r="H12" s="55" t="s">
        <v>175</v>
      </c>
      <c r="I12" s="51" t="s">
        <v>147</v>
      </c>
      <c r="J12" s="50" t="str">
        <f t="array" ref="J12">IF(K12&gt;=1,"Cumplido",IF(FECHA_ESTADO&gt;DATE(2027,1,15),"Atrasado",IF(INDEX(NLAB,MATCH(DATE(2027,1,15),FECHAS,0))-INDEX(NLAB,MATCH(F12,FECHAS,0))&lt;0,"En riesgo","Pendiente")))</f>
        <v>Pendiente</v>
      </c>
      <c r="K12" s="56">
        <f>IF(MIN($K$113,$K$143,$K$173,$K$204,$K$231,$K$259,$K$287,$K$288)&gt;=1,1,0)</f>
        <v>0</v>
      </c>
      <c r="L12" s="50">
        <f t="array" ref="L12">INDEX(NLAB,MATCH(DATE(2027,1,15),FECHAS,0))-INDEX(NLAB,MATCH(F12,FECHAS,0))</f>
        <v>0</v>
      </c>
      <c r="M12" s="53" t="s">
        <v>148</v>
      </c>
      <c r="N12" s="50" t="s">
        <v>149</v>
      </c>
      <c r="P12" s="49" t="str">
        <f t="shared" si="5"/>
        <v/>
      </c>
      <c r="Q12" s="49" t="str">
        <f t="shared" ref="Q12:AF12" si="10">IF(AND($F12&gt;=Q$5,$F12&lt;=Q$5+6),"◆","")</f>
        <v/>
      </c>
      <c r="R12" s="49" t="str">
        <f t="shared" si="10"/>
        <v/>
      </c>
      <c r="S12" s="49" t="str">
        <f t="shared" si="10"/>
        <v/>
      </c>
      <c r="T12" s="49" t="str">
        <f t="shared" si="10"/>
        <v/>
      </c>
      <c r="U12" s="49" t="str">
        <f t="shared" si="10"/>
        <v/>
      </c>
      <c r="V12" s="49" t="str">
        <f t="shared" si="10"/>
        <v/>
      </c>
      <c r="W12" s="49" t="str">
        <f t="shared" si="10"/>
        <v/>
      </c>
      <c r="X12" s="49" t="str">
        <f t="shared" si="10"/>
        <v/>
      </c>
      <c r="Y12" s="49" t="str">
        <f t="shared" si="10"/>
        <v/>
      </c>
      <c r="Z12" s="49" t="str">
        <f t="shared" si="10"/>
        <v/>
      </c>
      <c r="AA12" s="49" t="str">
        <f t="shared" si="10"/>
        <v/>
      </c>
      <c r="AB12" s="49" t="str">
        <f t="shared" si="10"/>
        <v/>
      </c>
      <c r="AC12" s="49" t="str">
        <f t="shared" si="10"/>
        <v/>
      </c>
      <c r="AD12" s="49" t="str">
        <f t="shared" si="10"/>
        <v/>
      </c>
      <c r="AE12" s="49" t="str">
        <f t="shared" si="10"/>
        <v/>
      </c>
      <c r="AF12" s="49" t="str">
        <f t="shared" si="10"/>
        <v/>
      </c>
      <c r="AG12" s="49" t="str">
        <f>IF(AND($F12&gt;=AG$5,$F12&lt;=AG$5+6),"*","")</f>
        <v>*</v>
      </c>
      <c r="AH12" s="49" t="str">
        <f t="shared" ref="AH12:BM12" si="11">IF(AND($F12&gt;=AH$5,$F12&lt;=AH$5+6),"◆","")</f>
        <v/>
      </c>
      <c r="AI12" s="49" t="str">
        <f t="shared" si="11"/>
        <v/>
      </c>
      <c r="AJ12" s="49" t="str">
        <f t="shared" si="11"/>
        <v/>
      </c>
      <c r="AK12" s="49" t="str">
        <f t="shared" si="11"/>
        <v/>
      </c>
      <c r="AL12" s="49" t="str">
        <f t="shared" si="11"/>
        <v/>
      </c>
      <c r="AM12" s="49" t="str">
        <f t="shared" si="11"/>
        <v/>
      </c>
      <c r="AN12" s="49" t="str">
        <f t="shared" si="11"/>
        <v/>
      </c>
      <c r="AO12" s="49" t="str">
        <f t="shared" si="11"/>
        <v/>
      </c>
      <c r="AP12" s="49" t="str">
        <f t="shared" si="11"/>
        <v/>
      </c>
      <c r="AQ12" s="49" t="str">
        <f t="shared" si="11"/>
        <v/>
      </c>
      <c r="AR12" s="49" t="str">
        <f t="shared" si="11"/>
        <v/>
      </c>
      <c r="AS12" s="49" t="str">
        <f t="shared" si="11"/>
        <v/>
      </c>
      <c r="AT12" s="49" t="str">
        <f t="shared" si="11"/>
        <v/>
      </c>
      <c r="AU12" s="49" t="str">
        <f t="shared" si="11"/>
        <v/>
      </c>
      <c r="AV12" s="49" t="str">
        <f t="shared" si="11"/>
        <v/>
      </c>
      <c r="AW12" s="49" t="str">
        <f t="shared" si="11"/>
        <v/>
      </c>
      <c r="AX12" s="49" t="str">
        <f t="shared" si="11"/>
        <v/>
      </c>
      <c r="AY12" s="49" t="str">
        <f t="shared" si="11"/>
        <v/>
      </c>
      <c r="AZ12" s="49" t="str">
        <f t="shared" si="11"/>
        <v/>
      </c>
      <c r="BA12" s="49" t="str">
        <f t="shared" si="11"/>
        <v/>
      </c>
      <c r="BB12" s="49" t="str">
        <f t="shared" si="11"/>
        <v/>
      </c>
      <c r="BC12" s="49" t="str">
        <f t="shared" si="11"/>
        <v/>
      </c>
      <c r="BD12" s="49" t="str">
        <f t="shared" si="11"/>
        <v/>
      </c>
      <c r="BE12" s="49" t="str">
        <f t="shared" si="11"/>
        <v/>
      </c>
      <c r="BF12" s="49" t="str">
        <f t="shared" si="11"/>
        <v/>
      </c>
      <c r="BG12" s="49" t="str">
        <f t="shared" si="11"/>
        <v/>
      </c>
      <c r="BH12" s="49" t="str">
        <f t="shared" si="11"/>
        <v/>
      </c>
      <c r="BI12" s="49" t="str">
        <f t="shared" si="11"/>
        <v/>
      </c>
      <c r="BJ12" s="49" t="str">
        <f t="shared" si="11"/>
        <v/>
      </c>
      <c r="BK12" s="49" t="str">
        <f t="shared" si="11"/>
        <v/>
      </c>
      <c r="BL12" s="49" t="str">
        <f t="shared" si="11"/>
        <v/>
      </c>
      <c r="BM12" s="49" t="str">
        <f t="shared" si="11"/>
        <v/>
      </c>
    </row>
    <row r="13" ht="27.0" customHeight="1" outlineLevel="1">
      <c r="A13" s="50" t="s">
        <v>160</v>
      </c>
      <c r="B13" s="50" t="s">
        <v>176</v>
      </c>
      <c r="C13" s="51" t="s">
        <v>177</v>
      </c>
      <c r="D13" s="52" t="s">
        <v>178</v>
      </c>
      <c r="E13" s="53">
        <v>0.0</v>
      </c>
      <c r="F13" s="54">
        <f>MAX($G$81)</f>
        <v>46409</v>
      </c>
      <c r="G13" s="54">
        <f t="shared" si="3"/>
        <v>46409</v>
      </c>
      <c r="H13" s="55" t="s">
        <v>179</v>
      </c>
      <c r="I13" s="51" t="s">
        <v>147</v>
      </c>
      <c r="J13" s="50" t="str">
        <f t="array" ref="J13">IF(K13&gt;=1,"Cumplido",IF(FECHA_ESTADO&gt;DATE(2027,1,22),"Atrasado",IF(INDEX(NLAB,MATCH(DATE(2027,1,22),FECHAS,0))-INDEX(NLAB,MATCH(F13,FECHAS,0))&lt;0,"En riesgo","Pendiente")))</f>
        <v>Pendiente</v>
      </c>
      <c r="K13" s="56">
        <f>IF(MIN($K$81)&gt;=1,1,0)</f>
        <v>0</v>
      </c>
      <c r="L13" s="50">
        <f t="array" ref="L13">INDEX(NLAB,MATCH(DATE(2027,1,22),FECHAS,0))-INDEX(NLAB,MATCH(F13,FECHAS,0))</f>
        <v>0</v>
      </c>
      <c r="M13" s="53" t="s">
        <v>148</v>
      </c>
      <c r="N13" s="50" t="s">
        <v>149</v>
      </c>
      <c r="P13" s="49" t="str">
        <f t="shared" si="5"/>
        <v/>
      </c>
      <c r="Q13" s="49" t="str">
        <f t="shared" ref="Q13:AG13" si="12">IF(AND($F13&gt;=Q$5,$F13&lt;=Q$5+6),"◆","")</f>
        <v/>
      </c>
      <c r="R13" s="49" t="str">
        <f t="shared" si="12"/>
        <v/>
      </c>
      <c r="S13" s="49" t="str">
        <f t="shared" si="12"/>
        <v/>
      </c>
      <c r="T13" s="49" t="str">
        <f t="shared" si="12"/>
        <v/>
      </c>
      <c r="U13" s="49" t="str">
        <f t="shared" si="12"/>
        <v/>
      </c>
      <c r="V13" s="49" t="str">
        <f t="shared" si="12"/>
        <v/>
      </c>
      <c r="W13" s="49" t="str">
        <f t="shared" si="12"/>
        <v/>
      </c>
      <c r="X13" s="49" t="str">
        <f t="shared" si="12"/>
        <v/>
      </c>
      <c r="Y13" s="49" t="str">
        <f t="shared" si="12"/>
        <v/>
      </c>
      <c r="Z13" s="49" t="str">
        <f t="shared" si="12"/>
        <v/>
      </c>
      <c r="AA13" s="49" t="str">
        <f t="shared" si="12"/>
        <v/>
      </c>
      <c r="AB13" s="49" t="str">
        <f t="shared" si="12"/>
        <v/>
      </c>
      <c r="AC13" s="49" t="str">
        <f t="shared" si="12"/>
        <v/>
      </c>
      <c r="AD13" s="49" t="str">
        <f t="shared" si="12"/>
        <v/>
      </c>
      <c r="AE13" s="49" t="str">
        <f t="shared" si="12"/>
        <v/>
      </c>
      <c r="AF13" s="49" t="str">
        <f t="shared" si="12"/>
        <v/>
      </c>
      <c r="AG13" s="49" t="str">
        <f t="shared" si="12"/>
        <v/>
      </c>
      <c r="AH13" s="49" t="str">
        <f>IF(AND($F13&gt;=AH$5,$F13&lt;=AH$5+6),"*","")</f>
        <v>*</v>
      </c>
      <c r="AI13" s="49" t="str">
        <f t="shared" ref="AI13:BM13" si="13">IF(AND($F13&gt;=AI$5,$F13&lt;=AI$5+6),"◆","")</f>
        <v/>
      </c>
      <c r="AJ13" s="49" t="str">
        <f t="shared" si="13"/>
        <v/>
      </c>
      <c r="AK13" s="49" t="str">
        <f t="shared" si="13"/>
        <v/>
      </c>
      <c r="AL13" s="49" t="str">
        <f t="shared" si="13"/>
        <v/>
      </c>
      <c r="AM13" s="49" t="str">
        <f t="shared" si="13"/>
        <v/>
      </c>
      <c r="AN13" s="49" t="str">
        <f t="shared" si="13"/>
        <v/>
      </c>
      <c r="AO13" s="49" t="str">
        <f t="shared" si="13"/>
        <v/>
      </c>
      <c r="AP13" s="49" t="str">
        <f t="shared" si="13"/>
        <v/>
      </c>
      <c r="AQ13" s="49" t="str">
        <f t="shared" si="13"/>
        <v/>
      </c>
      <c r="AR13" s="49" t="str">
        <f t="shared" si="13"/>
        <v/>
      </c>
      <c r="AS13" s="49" t="str">
        <f t="shared" si="13"/>
        <v/>
      </c>
      <c r="AT13" s="49" t="str">
        <f t="shared" si="13"/>
        <v/>
      </c>
      <c r="AU13" s="49" t="str">
        <f t="shared" si="13"/>
        <v/>
      </c>
      <c r="AV13" s="49" t="str">
        <f t="shared" si="13"/>
        <v/>
      </c>
      <c r="AW13" s="49" t="str">
        <f t="shared" si="13"/>
        <v/>
      </c>
      <c r="AX13" s="49" t="str">
        <f t="shared" si="13"/>
        <v/>
      </c>
      <c r="AY13" s="49" t="str">
        <f t="shared" si="13"/>
        <v/>
      </c>
      <c r="AZ13" s="49" t="str">
        <f t="shared" si="13"/>
        <v/>
      </c>
      <c r="BA13" s="49" t="str">
        <f t="shared" si="13"/>
        <v/>
      </c>
      <c r="BB13" s="49" t="str">
        <f t="shared" si="13"/>
        <v/>
      </c>
      <c r="BC13" s="49" t="str">
        <f t="shared" si="13"/>
        <v/>
      </c>
      <c r="BD13" s="49" t="str">
        <f t="shared" si="13"/>
        <v/>
      </c>
      <c r="BE13" s="49" t="str">
        <f t="shared" si="13"/>
        <v/>
      </c>
      <c r="BF13" s="49" t="str">
        <f t="shared" si="13"/>
        <v/>
      </c>
      <c r="BG13" s="49" t="str">
        <f t="shared" si="13"/>
        <v/>
      </c>
      <c r="BH13" s="49" t="str">
        <f t="shared" si="13"/>
        <v/>
      </c>
      <c r="BI13" s="49" t="str">
        <f t="shared" si="13"/>
        <v/>
      </c>
      <c r="BJ13" s="49" t="str">
        <f t="shared" si="13"/>
        <v/>
      </c>
      <c r="BK13" s="49" t="str">
        <f t="shared" si="13"/>
        <v/>
      </c>
      <c r="BL13" s="49" t="str">
        <f t="shared" si="13"/>
        <v/>
      </c>
      <c r="BM13" s="49" t="str">
        <f t="shared" si="13"/>
        <v/>
      </c>
    </row>
    <row r="14" ht="27.0" customHeight="1" outlineLevel="1">
      <c r="A14" s="50" t="s">
        <v>160</v>
      </c>
      <c r="B14" s="50" t="s">
        <v>180</v>
      </c>
      <c r="C14" s="51" t="s">
        <v>181</v>
      </c>
      <c r="D14" s="52" t="s">
        <v>182</v>
      </c>
      <c r="E14" s="53">
        <v>0.0</v>
      </c>
      <c r="F14" s="54">
        <f>MAX($G$114,$G$144,$G$174,$G$122,$G$152,$G$182,$G$205,$G$210,$G$232,$G$239,$G$260,$G$266,$G$289,$G$298)</f>
        <v>46423</v>
      </c>
      <c r="G14" s="54">
        <f t="shared" si="3"/>
        <v>46423</v>
      </c>
      <c r="H14" s="55" t="s">
        <v>183</v>
      </c>
      <c r="I14" s="51" t="s">
        <v>147</v>
      </c>
      <c r="J14" s="50" t="str">
        <f t="array" ref="J14">IF(K14&gt;=1,"Cumplido",IF(FECHA_ESTADO&gt;DATE(2027,2,5),"Atrasado",IF(INDEX(NLAB,MATCH(DATE(2027,2,5),FECHAS,0))-INDEX(NLAB,MATCH(F14,FECHAS,0))&lt;0,"En riesgo","Pendiente")))</f>
        <v>Pendiente</v>
      </c>
      <c r="K14" s="56">
        <f>IF(MIN($K$114,$K$144,$K$174,$K$122,$K$152,$K$182,$K$205,$K$210,$K$232,$K$239,$K$260,$K$266,$K$289,$K$298)&gt;=1,1,0)</f>
        <v>0</v>
      </c>
      <c r="L14" s="50">
        <f t="array" ref="L14">INDEX(NLAB,MATCH(DATE(2027,2,5),FECHAS,0))-INDEX(NLAB,MATCH(F14,FECHAS,0))</f>
        <v>0</v>
      </c>
      <c r="M14" s="53" t="s">
        <v>148</v>
      </c>
      <c r="N14" s="50" t="s">
        <v>149</v>
      </c>
      <c r="P14" s="49" t="str">
        <f t="shared" si="5"/>
        <v/>
      </c>
      <c r="Q14" s="49" t="str">
        <f t="shared" ref="Q14:AI14" si="14">IF(AND($F14&gt;=Q$5,$F14&lt;=Q$5+6),"◆","")</f>
        <v/>
      </c>
      <c r="R14" s="49" t="str">
        <f t="shared" si="14"/>
        <v/>
      </c>
      <c r="S14" s="49" t="str">
        <f t="shared" si="14"/>
        <v/>
      </c>
      <c r="T14" s="49" t="str">
        <f t="shared" si="14"/>
        <v/>
      </c>
      <c r="U14" s="49" t="str">
        <f t="shared" si="14"/>
        <v/>
      </c>
      <c r="V14" s="49" t="str">
        <f t="shared" si="14"/>
        <v/>
      </c>
      <c r="W14" s="49" t="str">
        <f t="shared" si="14"/>
        <v/>
      </c>
      <c r="X14" s="49" t="str">
        <f t="shared" si="14"/>
        <v/>
      </c>
      <c r="Y14" s="49" t="str">
        <f t="shared" si="14"/>
        <v/>
      </c>
      <c r="Z14" s="49" t="str">
        <f t="shared" si="14"/>
        <v/>
      </c>
      <c r="AA14" s="49" t="str">
        <f t="shared" si="14"/>
        <v/>
      </c>
      <c r="AB14" s="49" t="str">
        <f t="shared" si="14"/>
        <v/>
      </c>
      <c r="AC14" s="49" t="str">
        <f t="shared" si="14"/>
        <v/>
      </c>
      <c r="AD14" s="49" t="str">
        <f t="shared" si="14"/>
        <v/>
      </c>
      <c r="AE14" s="49" t="str">
        <f t="shared" si="14"/>
        <v/>
      </c>
      <c r="AF14" s="49" t="str">
        <f t="shared" si="14"/>
        <v/>
      </c>
      <c r="AG14" s="49" t="str">
        <f t="shared" si="14"/>
        <v/>
      </c>
      <c r="AH14" s="49" t="str">
        <f t="shared" si="14"/>
        <v/>
      </c>
      <c r="AI14" s="49" t="str">
        <f t="shared" si="14"/>
        <v/>
      </c>
      <c r="AJ14" s="49" t="str">
        <f>IF(AND($F14&gt;=AJ$5,$F14&lt;=AJ$5+6),"*","")</f>
        <v>*</v>
      </c>
      <c r="AK14" s="49" t="str">
        <f t="shared" ref="AK14:BM14" si="15">IF(AND($F14&gt;=AK$5,$F14&lt;=AK$5+6),"◆","")</f>
        <v/>
      </c>
      <c r="AL14" s="49" t="str">
        <f t="shared" si="15"/>
        <v/>
      </c>
      <c r="AM14" s="49" t="str">
        <f t="shared" si="15"/>
        <v/>
      </c>
      <c r="AN14" s="49" t="str">
        <f t="shared" si="15"/>
        <v/>
      </c>
      <c r="AO14" s="49" t="str">
        <f t="shared" si="15"/>
        <v/>
      </c>
      <c r="AP14" s="49" t="str">
        <f t="shared" si="15"/>
        <v/>
      </c>
      <c r="AQ14" s="49" t="str">
        <f t="shared" si="15"/>
        <v/>
      </c>
      <c r="AR14" s="49" t="str">
        <f t="shared" si="15"/>
        <v/>
      </c>
      <c r="AS14" s="49" t="str">
        <f t="shared" si="15"/>
        <v/>
      </c>
      <c r="AT14" s="49" t="str">
        <f t="shared" si="15"/>
        <v/>
      </c>
      <c r="AU14" s="49" t="str">
        <f t="shared" si="15"/>
        <v/>
      </c>
      <c r="AV14" s="49" t="str">
        <f t="shared" si="15"/>
        <v/>
      </c>
      <c r="AW14" s="49" t="str">
        <f t="shared" si="15"/>
        <v/>
      </c>
      <c r="AX14" s="49" t="str">
        <f t="shared" si="15"/>
        <v/>
      </c>
      <c r="AY14" s="49" t="str">
        <f t="shared" si="15"/>
        <v/>
      </c>
      <c r="AZ14" s="49" t="str">
        <f t="shared" si="15"/>
        <v/>
      </c>
      <c r="BA14" s="49" t="str">
        <f t="shared" si="15"/>
        <v/>
      </c>
      <c r="BB14" s="49" t="str">
        <f t="shared" si="15"/>
        <v/>
      </c>
      <c r="BC14" s="49" t="str">
        <f t="shared" si="15"/>
        <v/>
      </c>
      <c r="BD14" s="49" t="str">
        <f t="shared" si="15"/>
        <v/>
      </c>
      <c r="BE14" s="49" t="str">
        <f t="shared" si="15"/>
        <v/>
      </c>
      <c r="BF14" s="49" t="str">
        <f t="shared" si="15"/>
        <v/>
      </c>
      <c r="BG14" s="49" t="str">
        <f t="shared" si="15"/>
        <v/>
      </c>
      <c r="BH14" s="49" t="str">
        <f t="shared" si="15"/>
        <v/>
      </c>
      <c r="BI14" s="49" t="str">
        <f t="shared" si="15"/>
        <v/>
      </c>
      <c r="BJ14" s="49" t="str">
        <f t="shared" si="15"/>
        <v/>
      </c>
      <c r="BK14" s="49" t="str">
        <f t="shared" si="15"/>
        <v/>
      </c>
      <c r="BL14" s="49" t="str">
        <f t="shared" si="15"/>
        <v/>
      </c>
      <c r="BM14" s="49" t="str">
        <f t="shared" si="15"/>
        <v/>
      </c>
    </row>
    <row r="15" ht="27.0" customHeight="1" outlineLevel="1">
      <c r="A15" s="50" t="s">
        <v>160</v>
      </c>
      <c r="B15" s="50" t="s">
        <v>184</v>
      </c>
      <c r="C15" s="51" t="s">
        <v>185</v>
      </c>
      <c r="D15" s="52" t="s">
        <v>186</v>
      </c>
      <c r="E15" s="53">
        <v>0.0</v>
      </c>
      <c r="F15" s="54">
        <f>MAX($G$96)</f>
        <v>46433</v>
      </c>
      <c r="G15" s="54">
        <f t="shared" si="3"/>
        <v>46433</v>
      </c>
      <c r="H15" s="55" t="s">
        <v>187</v>
      </c>
      <c r="I15" s="51" t="s">
        <v>147</v>
      </c>
      <c r="J15" s="50" t="str">
        <f t="array" ref="J15">IF(K15&gt;=1,"Cumplido",IF(FECHA_ESTADO&gt;DATE(2027,2,15),"Atrasado",IF(INDEX(NLAB,MATCH(DATE(2027,2,15),FECHAS,0))-INDEX(NLAB,MATCH(F15,FECHAS,0))&lt;0,"En riesgo","Pendiente")))</f>
        <v>Pendiente</v>
      </c>
      <c r="K15" s="56">
        <f>IF(MIN($K$96)&gt;=1,1,0)</f>
        <v>0</v>
      </c>
      <c r="L15" s="50">
        <f t="array" ref="L15">INDEX(NLAB,MATCH(DATE(2027,2,15),FECHAS,0))-INDEX(NLAB,MATCH(F15,FECHAS,0))</f>
        <v>0</v>
      </c>
      <c r="M15" s="53" t="s">
        <v>148</v>
      </c>
      <c r="N15" s="50" t="s">
        <v>149</v>
      </c>
      <c r="P15" s="49" t="str">
        <f t="shared" si="5"/>
        <v/>
      </c>
      <c r="Q15" s="49" t="str">
        <f t="shared" ref="Q15:AK15" si="16">IF(AND($F15&gt;=Q$5,$F15&lt;=Q$5+6),"◆","")</f>
        <v/>
      </c>
      <c r="R15" s="49" t="str">
        <f t="shared" si="16"/>
        <v/>
      </c>
      <c r="S15" s="49" t="str">
        <f t="shared" si="16"/>
        <v/>
      </c>
      <c r="T15" s="49" t="str">
        <f t="shared" si="16"/>
        <v/>
      </c>
      <c r="U15" s="49" t="str">
        <f t="shared" si="16"/>
        <v/>
      </c>
      <c r="V15" s="49" t="str">
        <f t="shared" si="16"/>
        <v/>
      </c>
      <c r="W15" s="49" t="str">
        <f t="shared" si="16"/>
        <v/>
      </c>
      <c r="X15" s="49" t="str">
        <f t="shared" si="16"/>
        <v/>
      </c>
      <c r="Y15" s="49" t="str">
        <f t="shared" si="16"/>
        <v/>
      </c>
      <c r="Z15" s="49" t="str">
        <f t="shared" si="16"/>
        <v/>
      </c>
      <c r="AA15" s="49" t="str">
        <f t="shared" si="16"/>
        <v/>
      </c>
      <c r="AB15" s="49" t="str">
        <f t="shared" si="16"/>
        <v/>
      </c>
      <c r="AC15" s="49" t="str">
        <f t="shared" si="16"/>
        <v/>
      </c>
      <c r="AD15" s="49" t="str">
        <f t="shared" si="16"/>
        <v/>
      </c>
      <c r="AE15" s="49" t="str">
        <f t="shared" si="16"/>
        <v/>
      </c>
      <c r="AF15" s="49" t="str">
        <f t="shared" si="16"/>
        <v/>
      </c>
      <c r="AG15" s="49" t="str">
        <f t="shared" si="16"/>
        <v/>
      </c>
      <c r="AH15" s="49" t="str">
        <f t="shared" si="16"/>
        <v/>
      </c>
      <c r="AI15" s="49" t="str">
        <f t="shared" si="16"/>
        <v/>
      </c>
      <c r="AJ15" s="49" t="str">
        <f t="shared" si="16"/>
        <v/>
      </c>
      <c r="AK15" s="49" t="str">
        <f t="shared" si="16"/>
        <v/>
      </c>
      <c r="AL15" s="49" t="str">
        <f>IF(AND($F15&gt;=AL$5,$F15&lt;=AL$5+6),"*","")</f>
        <v>*</v>
      </c>
      <c r="AM15" s="49" t="str">
        <f t="shared" ref="AM15:BM15" si="17">IF(AND($F15&gt;=AM$5,$F15&lt;=AM$5+6),"◆","")</f>
        <v/>
      </c>
      <c r="AN15" s="49" t="str">
        <f t="shared" si="17"/>
        <v/>
      </c>
      <c r="AO15" s="49" t="str">
        <f t="shared" si="17"/>
        <v/>
      </c>
      <c r="AP15" s="49" t="str">
        <f t="shared" si="17"/>
        <v/>
      </c>
      <c r="AQ15" s="49" t="str">
        <f t="shared" si="17"/>
        <v/>
      </c>
      <c r="AR15" s="49" t="str">
        <f t="shared" si="17"/>
        <v/>
      </c>
      <c r="AS15" s="49" t="str">
        <f t="shared" si="17"/>
        <v/>
      </c>
      <c r="AT15" s="49" t="str">
        <f t="shared" si="17"/>
        <v/>
      </c>
      <c r="AU15" s="49" t="str">
        <f t="shared" si="17"/>
        <v/>
      </c>
      <c r="AV15" s="49" t="str">
        <f t="shared" si="17"/>
        <v/>
      </c>
      <c r="AW15" s="49" t="str">
        <f t="shared" si="17"/>
        <v/>
      </c>
      <c r="AX15" s="49" t="str">
        <f t="shared" si="17"/>
        <v/>
      </c>
      <c r="AY15" s="49" t="str">
        <f t="shared" si="17"/>
        <v/>
      </c>
      <c r="AZ15" s="49" t="str">
        <f t="shared" si="17"/>
        <v/>
      </c>
      <c r="BA15" s="49" t="str">
        <f t="shared" si="17"/>
        <v/>
      </c>
      <c r="BB15" s="49" t="str">
        <f t="shared" si="17"/>
        <v/>
      </c>
      <c r="BC15" s="49" t="str">
        <f t="shared" si="17"/>
        <v/>
      </c>
      <c r="BD15" s="49" t="str">
        <f t="shared" si="17"/>
        <v/>
      </c>
      <c r="BE15" s="49" t="str">
        <f t="shared" si="17"/>
        <v/>
      </c>
      <c r="BF15" s="49" t="str">
        <f t="shared" si="17"/>
        <v/>
      </c>
      <c r="BG15" s="49" t="str">
        <f t="shared" si="17"/>
        <v/>
      </c>
      <c r="BH15" s="49" t="str">
        <f t="shared" si="17"/>
        <v/>
      </c>
      <c r="BI15" s="49" t="str">
        <f t="shared" si="17"/>
        <v/>
      </c>
      <c r="BJ15" s="49" t="str">
        <f t="shared" si="17"/>
        <v/>
      </c>
      <c r="BK15" s="49" t="str">
        <f t="shared" si="17"/>
        <v/>
      </c>
      <c r="BL15" s="49" t="str">
        <f t="shared" si="17"/>
        <v/>
      </c>
      <c r="BM15" s="49" t="str">
        <f t="shared" si="17"/>
        <v/>
      </c>
    </row>
    <row r="16" ht="15.75" customHeight="1" outlineLevel="1">
      <c r="A16" s="57" t="s">
        <v>188</v>
      </c>
      <c r="B16" s="57" t="s">
        <v>189</v>
      </c>
      <c r="C16" s="58" t="s">
        <v>190</v>
      </c>
      <c r="D16" s="59" t="s">
        <v>191</v>
      </c>
      <c r="E16" s="60">
        <v>0.0</v>
      </c>
      <c r="F16" s="61">
        <f>MAX($G$124)</f>
        <v>46450</v>
      </c>
      <c r="G16" s="61">
        <f t="shared" si="3"/>
        <v>46450</v>
      </c>
      <c r="H16" s="62" t="s">
        <v>192</v>
      </c>
      <c r="I16" s="58" t="s">
        <v>147</v>
      </c>
      <c r="J16" s="57" t="str">
        <f t="array" ref="J16">IF(K16&gt;=1,"Cumplido",IF(FECHA_ESTADO&gt;DATE(2027,3,4),"Atrasado",IF(INDEX(NLAB,MATCH(DATE(2027,3,4),FECHAS,0))-INDEX(NLAB,MATCH(F16,FECHAS,0))&lt;0,"En riesgo","Pendiente")))</f>
        <v>Pendiente</v>
      </c>
      <c r="K16" s="63">
        <f>IF(MIN($K$124)&gt;=1,1,0)</f>
        <v>0</v>
      </c>
      <c r="L16" s="57">
        <f t="array" ref="L16">INDEX(NLAB,MATCH(DATE(2027,3,4),FECHAS,0))-INDEX(NLAB,MATCH(F16,FECHAS,0))</f>
        <v>0</v>
      </c>
      <c r="M16" s="60" t="s">
        <v>148</v>
      </c>
      <c r="N16" s="57" t="s">
        <v>149</v>
      </c>
      <c r="P16" s="49" t="str">
        <f t="shared" si="5"/>
        <v/>
      </c>
      <c r="Q16" s="49" t="str">
        <f t="shared" ref="Q16:AM16" si="18">IF(AND($F16&gt;=Q$5,$F16&lt;=Q$5+6),"◆","")</f>
        <v/>
      </c>
      <c r="R16" s="49" t="str">
        <f t="shared" si="18"/>
        <v/>
      </c>
      <c r="S16" s="49" t="str">
        <f t="shared" si="18"/>
        <v/>
      </c>
      <c r="T16" s="49" t="str">
        <f t="shared" si="18"/>
        <v/>
      </c>
      <c r="U16" s="49" t="str">
        <f t="shared" si="18"/>
        <v/>
      </c>
      <c r="V16" s="49" t="str">
        <f t="shared" si="18"/>
        <v/>
      </c>
      <c r="W16" s="49" t="str">
        <f t="shared" si="18"/>
        <v/>
      </c>
      <c r="X16" s="49" t="str">
        <f t="shared" si="18"/>
        <v/>
      </c>
      <c r="Y16" s="49" t="str">
        <f t="shared" si="18"/>
        <v/>
      </c>
      <c r="Z16" s="49" t="str">
        <f t="shared" si="18"/>
        <v/>
      </c>
      <c r="AA16" s="49" t="str">
        <f t="shared" si="18"/>
        <v/>
      </c>
      <c r="AB16" s="49" t="str">
        <f t="shared" si="18"/>
        <v/>
      </c>
      <c r="AC16" s="49" t="str">
        <f t="shared" si="18"/>
        <v/>
      </c>
      <c r="AD16" s="49" t="str">
        <f t="shared" si="18"/>
        <v/>
      </c>
      <c r="AE16" s="49" t="str">
        <f t="shared" si="18"/>
        <v/>
      </c>
      <c r="AF16" s="49" t="str">
        <f t="shared" si="18"/>
        <v/>
      </c>
      <c r="AG16" s="49" t="str">
        <f t="shared" si="18"/>
        <v/>
      </c>
      <c r="AH16" s="49" t="str">
        <f t="shared" si="18"/>
        <v/>
      </c>
      <c r="AI16" s="49" t="str">
        <f t="shared" si="18"/>
        <v/>
      </c>
      <c r="AJ16" s="49" t="str">
        <f t="shared" si="18"/>
        <v/>
      </c>
      <c r="AK16" s="49" t="str">
        <f t="shared" si="18"/>
        <v/>
      </c>
      <c r="AL16" s="49" t="str">
        <f t="shared" si="18"/>
        <v/>
      </c>
      <c r="AM16" s="49" t="str">
        <f t="shared" si="18"/>
        <v/>
      </c>
      <c r="AN16" s="49" t="str">
        <f>IF(AND($F16&gt;=AN$5,$F16&lt;=AN$5+6),"*","")</f>
        <v>*</v>
      </c>
      <c r="AO16" s="49" t="str">
        <f t="shared" ref="AO16:BM16" si="19">IF(AND($F16&gt;=AO$5,$F16&lt;=AO$5+6),"◆","")</f>
        <v/>
      </c>
      <c r="AP16" s="49" t="str">
        <f t="shared" si="19"/>
        <v/>
      </c>
      <c r="AQ16" s="49" t="str">
        <f t="shared" si="19"/>
        <v/>
      </c>
      <c r="AR16" s="49" t="str">
        <f t="shared" si="19"/>
        <v/>
      </c>
      <c r="AS16" s="49" t="str">
        <f t="shared" si="19"/>
        <v/>
      </c>
      <c r="AT16" s="49" t="str">
        <f t="shared" si="19"/>
        <v/>
      </c>
      <c r="AU16" s="49" t="str">
        <f t="shared" si="19"/>
        <v/>
      </c>
      <c r="AV16" s="49" t="str">
        <f t="shared" si="19"/>
        <v/>
      </c>
      <c r="AW16" s="49" t="str">
        <f t="shared" si="19"/>
        <v/>
      </c>
      <c r="AX16" s="49" t="str">
        <f t="shared" si="19"/>
        <v/>
      </c>
      <c r="AY16" s="49" t="str">
        <f t="shared" si="19"/>
        <v/>
      </c>
      <c r="AZ16" s="49" t="str">
        <f t="shared" si="19"/>
        <v/>
      </c>
      <c r="BA16" s="49" t="str">
        <f t="shared" si="19"/>
        <v/>
      </c>
      <c r="BB16" s="49" t="str">
        <f t="shared" si="19"/>
        <v/>
      </c>
      <c r="BC16" s="49" t="str">
        <f t="shared" si="19"/>
        <v/>
      </c>
      <c r="BD16" s="49" t="str">
        <f t="shared" si="19"/>
        <v/>
      </c>
      <c r="BE16" s="49" t="str">
        <f t="shared" si="19"/>
        <v/>
      </c>
      <c r="BF16" s="49" t="str">
        <f t="shared" si="19"/>
        <v/>
      </c>
      <c r="BG16" s="49" t="str">
        <f t="shared" si="19"/>
        <v/>
      </c>
      <c r="BH16" s="49" t="str">
        <f t="shared" si="19"/>
        <v/>
      </c>
      <c r="BI16" s="49" t="str">
        <f t="shared" si="19"/>
        <v/>
      </c>
      <c r="BJ16" s="49" t="str">
        <f t="shared" si="19"/>
        <v/>
      </c>
      <c r="BK16" s="49" t="str">
        <f t="shared" si="19"/>
        <v/>
      </c>
      <c r="BL16" s="49" t="str">
        <f t="shared" si="19"/>
        <v/>
      </c>
      <c r="BM16" s="49" t="str">
        <f t="shared" si="19"/>
        <v/>
      </c>
    </row>
    <row r="17" ht="15.75" customHeight="1" outlineLevel="1">
      <c r="A17" s="57" t="s">
        <v>188</v>
      </c>
      <c r="B17" s="57" t="s">
        <v>193</v>
      </c>
      <c r="C17" s="58" t="s">
        <v>194</v>
      </c>
      <c r="D17" s="59" t="s">
        <v>195</v>
      </c>
      <c r="E17" s="60">
        <v>0.0</v>
      </c>
      <c r="F17" s="61">
        <f>MAX($G$216)</f>
        <v>46473</v>
      </c>
      <c r="G17" s="61">
        <f t="shared" si="3"/>
        <v>46473</v>
      </c>
      <c r="H17" s="62" t="s">
        <v>196</v>
      </c>
      <c r="I17" s="58" t="s">
        <v>147</v>
      </c>
      <c r="J17" s="57" t="str">
        <f t="array" ref="J17">IF(K17&gt;=1,"Cumplido",IF(FECHA_ESTADO&gt;DATE(2027,3,27),"Atrasado",IF(INDEX(NLAB,MATCH(DATE(2027,3,27),FECHAS,0))-INDEX(NLAB,MATCH(F17,FECHAS,0))&lt;0,"En riesgo","Pendiente")))</f>
        <v>Pendiente</v>
      </c>
      <c r="K17" s="63">
        <f t="shared" ref="K17:K18" si="22">IF(MIN($K$216)&gt;=1,1,0)</f>
        <v>0</v>
      </c>
      <c r="L17" s="57">
        <f t="array" ref="L17">INDEX(NLAB,MATCH(DATE(2027,3,27),FECHAS,0))-INDEX(NLAB,MATCH(F17,FECHAS,0))</f>
        <v>0</v>
      </c>
      <c r="M17" s="60" t="s">
        <v>148</v>
      </c>
      <c r="N17" s="57" t="s">
        <v>149</v>
      </c>
      <c r="P17" s="49" t="str">
        <f t="shared" si="5"/>
        <v/>
      </c>
      <c r="Q17" s="49" t="str">
        <f t="shared" ref="Q17:AP17" si="20">IF(AND($F17&gt;=Q$5,$F17&lt;=Q$5+6),"◆","")</f>
        <v/>
      </c>
      <c r="R17" s="49" t="str">
        <f t="shared" si="20"/>
        <v/>
      </c>
      <c r="S17" s="49" t="str">
        <f t="shared" si="20"/>
        <v/>
      </c>
      <c r="T17" s="49" t="str">
        <f t="shared" si="20"/>
        <v/>
      </c>
      <c r="U17" s="49" t="str">
        <f t="shared" si="20"/>
        <v/>
      </c>
      <c r="V17" s="49" t="str">
        <f t="shared" si="20"/>
        <v/>
      </c>
      <c r="W17" s="49" t="str">
        <f t="shared" si="20"/>
        <v/>
      </c>
      <c r="X17" s="49" t="str">
        <f t="shared" si="20"/>
        <v/>
      </c>
      <c r="Y17" s="49" t="str">
        <f t="shared" si="20"/>
        <v/>
      </c>
      <c r="Z17" s="49" t="str">
        <f t="shared" si="20"/>
        <v/>
      </c>
      <c r="AA17" s="49" t="str">
        <f t="shared" si="20"/>
        <v/>
      </c>
      <c r="AB17" s="49" t="str">
        <f t="shared" si="20"/>
        <v/>
      </c>
      <c r="AC17" s="49" t="str">
        <f t="shared" si="20"/>
        <v/>
      </c>
      <c r="AD17" s="49" t="str">
        <f t="shared" si="20"/>
        <v/>
      </c>
      <c r="AE17" s="49" t="str">
        <f t="shared" si="20"/>
        <v/>
      </c>
      <c r="AF17" s="49" t="str">
        <f t="shared" si="20"/>
        <v/>
      </c>
      <c r="AG17" s="49" t="str">
        <f t="shared" si="20"/>
        <v/>
      </c>
      <c r="AH17" s="49" t="str">
        <f t="shared" si="20"/>
        <v/>
      </c>
      <c r="AI17" s="49" t="str">
        <f t="shared" si="20"/>
        <v/>
      </c>
      <c r="AJ17" s="49" t="str">
        <f t="shared" si="20"/>
        <v/>
      </c>
      <c r="AK17" s="49" t="str">
        <f t="shared" si="20"/>
        <v/>
      </c>
      <c r="AL17" s="49" t="str">
        <f t="shared" si="20"/>
        <v/>
      </c>
      <c r="AM17" s="49" t="str">
        <f t="shared" si="20"/>
        <v/>
      </c>
      <c r="AN17" s="49" t="str">
        <f t="shared" si="20"/>
        <v/>
      </c>
      <c r="AO17" s="49" t="str">
        <f t="shared" si="20"/>
        <v/>
      </c>
      <c r="AP17" s="49" t="str">
        <f t="shared" si="20"/>
        <v/>
      </c>
      <c r="AQ17" s="49" t="str">
        <f t="shared" ref="AQ17:AQ18" si="23">IF(AND($F17&gt;=AQ$5,$F17&lt;=AQ$5+6),"*","")</f>
        <v>*</v>
      </c>
      <c r="AR17" s="49" t="str">
        <f t="shared" ref="AR17:BM17" si="21">IF(AND($F17&gt;=AR$5,$F17&lt;=AR$5+6),"◆","")</f>
        <v/>
      </c>
      <c r="AS17" s="49" t="str">
        <f t="shared" si="21"/>
        <v/>
      </c>
      <c r="AT17" s="49" t="str">
        <f t="shared" si="21"/>
        <v/>
      </c>
      <c r="AU17" s="49" t="str">
        <f t="shared" si="21"/>
        <v/>
      </c>
      <c r="AV17" s="49" t="str">
        <f t="shared" si="21"/>
        <v/>
      </c>
      <c r="AW17" s="49" t="str">
        <f t="shared" si="21"/>
        <v/>
      </c>
      <c r="AX17" s="49" t="str">
        <f t="shared" si="21"/>
        <v/>
      </c>
      <c r="AY17" s="49" t="str">
        <f t="shared" si="21"/>
        <v/>
      </c>
      <c r="AZ17" s="49" t="str">
        <f t="shared" si="21"/>
        <v/>
      </c>
      <c r="BA17" s="49" t="str">
        <f t="shared" si="21"/>
        <v/>
      </c>
      <c r="BB17" s="49" t="str">
        <f t="shared" si="21"/>
        <v/>
      </c>
      <c r="BC17" s="49" t="str">
        <f t="shared" si="21"/>
        <v/>
      </c>
      <c r="BD17" s="49" t="str">
        <f t="shared" si="21"/>
        <v/>
      </c>
      <c r="BE17" s="49" t="str">
        <f t="shared" si="21"/>
        <v/>
      </c>
      <c r="BF17" s="49" t="str">
        <f t="shared" si="21"/>
        <v/>
      </c>
      <c r="BG17" s="49" t="str">
        <f t="shared" si="21"/>
        <v/>
      </c>
      <c r="BH17" s="49" t="str">
        <f t="shared" si="21"/>
        <v/>
      </c>
      <c r="BI17" s="49" t="str">
        <f t="shared" si="21"/>
        <v/>
      </c>
      <c r="BJ17" s="49" t="str">
        <f t="shared" si="21"/>
        <v/>
      </c>
      <c r="BK17" s="49" t="str">
        <f t="shared" si="21"/>
        <v/>
      </c>
      <c r="BL17" s="49" t="str">
        <f t="shared" si="21"/>
        <v/>
      </c>
      <c r="BM17" s="49" t="str">
        <f t="shared" si="21"/>
        <v/>
      </c>
    </row>
    <row r="18" ht="15.75" customHeight="1" outlineLevel="1">
      <c r="A18" s="57" t="s">
        <v>188</v>
      </c>
      <c r="B18" s="60" t="s">
        <v>197</v>
      </c>
      <c r="C18" s="64" t="s">
        <v>198</v>
      </c>
      <c r="D18" s="59" t="s">
        <v>199</v>
      </c>
      <c r="E18" s="60">
        <v>0.0</v>
      </c>
      <c r="F18" s="65">
        <v>46478.0</v>
      </c>
      <c r="G18" s="65">
        <v>46478.0</v>
      </c>
      <c r="H18" s="66" t="s">
        <v>200</v>
      </c>
      <c r="I18" s="58" t="s">
        <v>147</v>
      </c>
      <c r="J18" s="57" t="str">
        <f t="array" ref="J18">IF(K18&gt;=1,"Cumplido",IF(FECHA_ESTADO&gt;DATE(2027,4,1),"Atrasado",IF(INDEX(NLAB,MATCH(DATE(2027,4,1),FECHAS,0))-INDEX(NLAB,MATCH(F18,FECHAS,0))&lt;0,"En riesgo","Pendiente")))</f>
        <v>Pendiente</v>
      </c>
      <c r="K18" s="63">
        <f t="shared" si="22"/>
        <v>0</v>
      </c>
      <c r="L18" s="57">
        <f t="array" ref="L18">INDEX(NLAB,MATCH(DATE(2027,4,1),FECHAS,0))-INDEX(NLAB,MATCH(F18,FECHAS,0))</f>
        <v>0</v>
      </c>
      <c r="M18" s="60" t="s">
        <v>148</v>
      </c>
      <c r="N18" s="57" t="s">
        <v>149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 t="str">
        <f t="shared" si="23"/>
        <v/>
      </c>
      <c r="AR18" s="49" t="str">
        <f t="shared" ref="AR18:BB18" si="24">IF(AND($F18&gt;=AR$5,$F18&lt;=AR$5+6),"*","")</f>
        <v>*</v>
      </c>
      <c r="AS18" s="49" t="str">
        <f t="shared" si="24"/>
        <v/>
      </c>
      <c r="AT18" s="49" t="str">
        <f t="shared" si="24"/>
        <v/>
      </c>
      <c r="AU18" s="49" t="str">
        <f t="shared" si="24"/>
        <v/>
      </c>
      <c r="AV18" s="49" t="str">
        <f t="shared" si="24"/>
        <v/>
      </c>
      <c r="AW18" s="49" t="str">
        <f t="shared" si="24"/>
        <v/>
      </c>
      <c r="AX18" s="49" t="str">
        <f t="shared" si="24"/>
        <v/>
      </c>
      <c r="AY18" s="49" t="str">
        <f t="shared" si="24"/>
        <v/>
      </c>
      <c r="AZ18" s="49" t="str">
        <f t="shared" si="24"/>
        <v/>
      </c>
      <c r="BA18" s="49" t="str">
        <f t="shared" si="24"/>
        <v/>
      </c>
      <c r="BB18" s="49" t="str">
        <f t="shared" si="24"/>
        <v/>
      </c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</row>
    <row r="19" ht="15.75" customHeight="1" outlineLevel="1">
      <c r="A19" s="57" t="s">
        <v>188</v>
      </c>
      <c r="B19" s="57" t="s">
        <v>201</v>
      </c>
      <c r="C19" s="58" t="s">
        <v>202</v>
      </c>
      <c r="D19" s="59" t="s">
        <v>203</v>
      </c>
      <c r="E19" s="60">
        <v>0.0</v>
      </c>
      <c r="F19" s="61">
        <f>MAX($G$244)</f>
        <v>46501</v>
      </c>
      <c r="G19" s="61">
        <f t="shared" ref="G19:G29" si="27">F19</f>
        <v>46501</v>
      </c>
      <c r="H19" s="62" t="s">
        <v>204</v>
      </c>
      <c r="I19" s="58" t="s">
        <v>147</v>
      </c>
      <c r="J19" s="57" t="str">
        <f t="array" ref="J19">IF(K19&gt;=1,"Cumplido",IF(FECHA_ESTADO&gt;DATE(2027,4,24),"Atrasado",IF(INDEX(NLAB,MATCH(DATE(2027,4,24),FECHAS,0))-INDEX(NLAB,MATCH(F19,FECHAS,0))&lt;0,"En riesgo","Pendiente")))</f>
        <v>Pendiente</v>
      </c>
      <c r="K19" s="63">
        <f>IF(MIN($K$244)&gt;=1,1,0)</f>
        <v>0</v>
      </c>
      <c r="L19" s="57">
        <f t="array" ref="L19">INDEX(NLAB,MATCH(DATE(2027,4,24),FECHAS,0))-INDEX(NLAB,MATCH(F19,FECHAS,0))</f>
        <v>0</v>
      </c>
      <c r="M19" s="60" t="s">
        <v>148</v>
      </c>
      <c r="N19" s="57" t="s">
        <v>149</v>
      </c>
      <c r="P19" s="49" t="str">
        <f t="shared" ref="P19:AT19" si="25">IF(AND($F19&gt;=P$5,$F19&lt;=P$5+6),"◆","")</f>
        <v/>
      </c>
      <c r="Q19" s="49" t="str">
        <f t="shared" si="25"/>
        <v/>
      </c>
      <c r="R19" s="49" t="str">
        <f t="shared" si="25"/>
        <v/>
      </c>
      <c r="S19" s="49" t="str">
        <f t="shared" si="25"/>
        <v/>
      </c>
      <c r="T19" s="49" t="str">
        <f t="shared" si="25"/>
        <v/>
      </c>
      <c r="U19" s="49" t="str">
        <f t="shared" si="25"/>
        <v/>
      </c>
      <c r="V19" s="49" t="str">
        <f t="shared" si="25"/>
        <v/>
      </c>
      <c r="W19" s="49" t="str">
        <f t="shared" si="25"/>
        <v/>
      </c>
      <c r="X19" s="49" t="str">
        <f t="shared" si="25"/>
        <v/>
      </c>
      <c r="Y19" s="49" t="str">
        <f t="shared" si="25"/>
        <v/>
      </c>
      <c r="Z19" s="49" t="str">
        <f t="shared" si="25"/>
        <v/>
      </c>
      <c r="AA19" s="49" t="str">
        <f t="shared" si="25"/>
        <v/>
      </c>
      <c r="AB19" s="49" t="str">
        <f t="shared" si="25"/>
        <v/>
      </c>
      <c r="AC19" s="49" t="str">
        <f t="shared" si="25"/>
        <v/>
      </c>
      <c r="AD19" s="49" t="str">
        <f t="shared" si="25"/>
        <v/>
      </c>
      <c r="AE19" s="49" t="str">
        <f t="shared" si="25"/>
        <v/>
      </c>
      <c r="AF19" s="49" t="str">
        <f t="shared" si="25"/>
        <v/>
      </c>
      <c r="AG19" s="49" t="str">
        <f t="shared" si="25"/>
        <v/>
      </c>
      <c r="AH19" s="49" t="str">
        <f t="shared" si="25"/>
        <v/>
      </c>
      <c r="AI19" s="49" t="str">
        <f t="shared" si="25"/>
        <v/>
      </c>
      <c r="AJ19" s="49" t="str">
        <f t="shared" si="25"/>
        <v/>
      </c>
      <c r="AK19" s="49" t="str">
        <f t="shared" si="25"/>
        <v/>
      </c>
      <c r="AL19" s="49" t="str">
        <f t="shared" si="25"/>
        <v/>
      </c>
      <c r="AM19" s="49" t="str">
        <f t="shared" si="25"/>
        <v/>
      </c>
      <c r="AN19" s="49" t="str">
        <f t="shared" si="25"/>
        <v/>
      </c>
      <c r="AO19" s="49" t="str">
        <f t="shared" si="25"/>
        <v/>
      </c>
      <c r="AP19" s="49" t="str">
        <f t="shared" si="25"/>
        <v/>
      </c>
      <c r="AQ19" s="49" t="str">
        <f t="shared" si="25"/>
        <v/>
      </c>
      <c r="AR19" s="49" t="str">
        <f t="shared" si="25"/>
        <v/>
      </c>
      <c r="AS19" s="49" t="str">
        <f t="shared" si="25"/>
        <v/>
      </c>
      <c r="AT19" s="49" t="str">
        <f t="shared" si="25"/>
        <v/>
      </c>
      <c r="AU19" s="49" t="str">
        <f>IF(AND($F19&gt;=AU$5,$F19&lt;=AU$5+6),"*","")</f>
        <v>*</v>
      </c>
      <c r="AV19" s="49" t="str">
        <f t="shared" ref="AV19:BM19" si="26">IF(AND($F19&gt;=AV$5,$F19&lt;=AV$5+6),"◆","")</f>
        <v/>
      </c>
      <c r="AW19" s="49" t="str">
        <f t="shared" si="26"/>
        <v/>
      </c>
      <c r="AX19" s="49" t="str">
        <f t="shared" si="26"/>
        <v/>
      </c>
      <c r="AY19" s="49" t="str">
        <f t="shared" si="26"/>
        <v/>
      </c>
      <c r="AZ19" s="49" t="str">
        <f t="shared" si="26"/>
        <v/>
      </c>
      <c r="BA19" s="49" t="str">
        <f t="shared" si="26"/>
        <v/>
      </c>
      <c r="BB19" s="49" t="str">
        <f t="shared" si="26"/>
        <v/>
      </c>
      <c r="BC19" s="49" t="str">
        <f t="shared" si="26"/>
        <v/>
      </c>
      <c r="BD19" s="49" t="str">
        <f t="shared" si="26"/>
        <v/>
      </c>
      <c r="BE19" s="49" t="str">
        <f t="shared" si="26"/>
        <v/>
      </c>
      <c r="BF19" s="49" t="str">
        <f t="shared" si="26"/>
        <v/>
      </c>
      <c r="BG19" s="49" t="str">
        <f t="shared" si="26"/>
        <v/>
      </c>
      <c r="BH19" s="49" t="str">
        <f t="shared" si="26"/>
        <v/>
      </c>
      <c r="BI19" s="49" t="str">
        <f t="shared" si="26"/>
        <v/>
      </c>
      <c r="BJ19" s="49" t="str">
        <f t="shared" si="26"/>
        <v/>
      </c>
      <c r="BK19" s="49" t="str">
        <f t="shared" si="26"/>
        <v/>
      </c>
      <c r="BL19" s="49" t="str">
        <f t="shared" si="26"/>
        <v/>
      </c>
      <c r="BM19" s="49" t="str">
        <f t="shared" si="26"/>
        <v/>
      </c>
    </row>
    <row r="20" ht="15.75" customHeight="1" outlineLevel="1">
      <c r="A20" s="57" t="s">
        <v>188</v>
      </c>
      <c r="B20" s="57" t="s">
        <v>205</v>
      </c>
      <c r="C20" s="58" t="s">
        <v>206</v>
      </c>
      <c r="D20" s="59" t="s">
        <v>207</v>
      </c>
      <c r="E20" s="60">
        <v>0.0</v>
      </c>
      <c r="F20" s="61">
        <f>MAX($G$272)</f>
        <v>46536</v>
      </c>
      <c r="G20" s="61">
        <f t="shared" si="27"/>
        <v>46536</v>
      </c>
      <c r="H20" s="62" t="s">
        <v>208</v>
      </c>
      <c r="I20" s="58" t="s">
        <v>147</v>
      </c>
      <c r="J20" s="57" t="str">
        <f t="array" ref="J20">IF(K20&gt;=1,"Cumplido",IF(FECHA_ESTADO&gt;DATE(2027,5,29),"Atrasado",IF(INDEX(NLAB,MATCH(DATE(2027,5,29),FECHAS,0))-INDEX(NLAB,MATCH(F20,FECHAS,0))&lt;0,"En riesgo","Pendiente")))</f>
        <v>Pendiente</v>
      </c>
      <c r="K20" s="63">
        <f>IF(MIN($K$272)&gt;=1,1,0)</f>
        <v>0</v>
      </c>
      <c r="L20" s="57">
        <f t="array" ref="L20">INDEX(NLAB,MATCH(DATE(2027,5,29),FECHAS,0))-INDEX(NLAB,MATCH(F20,FECHAS,0))</f>
        <v>0</v>
      </c>
      <c r="M20" s="60" t="s">
        <v>148</v>
      </c>
      <c r="N20" s="57" t="s">
        <v>149</v>
      </c>
      <c r="P20" s="49" t="str">
        <f t="shared" ref="P20:AY20" si="28">IF(AND($F20&gt;=P$5,$F20&lt;=P$5+6),"◆","")</f>
        <v/>
      </c>
      <c r="Q20" s="49" t="str">
        <f t="shared" si="28"/>
        <v/>
      </c>
      <c r="R20" s="49" t="str">
        <f t="shared" si="28"/>
        <v/>
      </c>
      <c r="S20" s="49" t="str">
        <f t="shared" si="28"/>
        <v/>
      </c>
      <c r="T20" s="49" t="str">
        <f t="shared" si="28"/>
        <v/>
      </c>
      <c r="U20" s="49" t="str">
        <f t="shared" si="28"/>
        <v/>
      </c>
      <c r="V20" s="49" t="str">
        <f t="shared" si="28"/>
        <v/>
      </c>
      <c r="W20" s="49" t="str">
        <f t="shared" si="28"/>
        <v/>
      </c>
      <c r="X20" s="49" t="str">
        <f t="shared" si="28"/>
        <v/>
      </c>
      <c r="Y20" s="49" t="str">
        <f t="shared" si="28"/>
        <v/>
      </c>
      <c r="Z20" s="49" t="str">
        <f t="shared" si="28"/>
        <v/>
      </c>
      <c r="AA20" s="49" t="str">
        <f t="shared" si="28"/>
        <v/>
      </c>
      <c r="AB20" s="49" t="str">
        <f t="shared" si="28"/>
        <v/>
      </c>
      <c r="AC20" s="49" t="str">
        <f t="shared" si="28"/>
        <v/>
      </c>
      <c r="AD20" s="49" t="str">
        <f t="shared" si="28"/>
        <v/>
      </c>
      <c r="AE20" s="49" t="str">
        <f t="shared" si="28"/>
        <v/>
      </c>
      <c r="AF20" s="49" t="str">
        <f t="shared" si="28"/>
        <v/>
      </c>
      <c r="AG20" s="49" t="str">
        <f t="shared" si="28"/>
        <v/>
      </c>
      <c r="AH20" s="49" t="str">
        <f t="shared" si="28"/>
        <v/>
      </c>
      <c r="AI20" s="49" t="str">
        <f t="shared" si="28"/>
        <v/>
      </c>
      <c r="AJ20" s="49" t="str">
        <f t="shared" si="28"/>
        <v/>
      </c>
      <c r="AK20" s="49" t="str">
        <f t="shared" si="28"/>
        <v/>
      </c>
      <c r="AL20" s="49" t="str">
        <f t="shared" si="28"/>
        <v/>
      </c>
      <c r="AM20" s="49" t="str">
        <f t="shared" si="28"/>
        <v/>
      </c>
      <c r="AN20" s="49" t="str">
        <f t="shared" si="28"/>
        <v/>
      </c>
      <c r="AO20" s="49" t="str">
        <f t="shared" si="28"/>
        <v/>
      </c>
      <c r="AP20" s="49" t="str">
        <f t="shared" si="28"/>
        <v/>
      </c>
      <c r="AQ20" s="49" t="str">
        <f t="shared" si="28"/>
        <v/>
      </c>
      <c r="AR20" s="49" t="str">
        <f t="shared" si="28"/>
        <v/>
      </c>
      <c r="AS20" s="49" t="str">
        <f t="shared" si="28"/>
        <v/>
      </c>
      <c r="AT20" s="49" t="str">
        <f t="shared" si="28"/>
        <v/>
      </c>
      <c r="AU20" s="49" t="str">
        <f t="shared" si="28"/>
        <v/>
      </c>
      <c r="AV20" s="49" t="str">
        <f t="shared" si="28"/>
        <v/>
      </c>
      <c r="AW20" s="49" t="str">
        <f t="shared" si="28"/>
        <v/>
      </c>
      <c r="AX20" s="49" t="str">
        <f t="shared" si="28"/>
        <v/>
      </c>
      <c r="AY20" s="49" t="str">
        <f t="shared" si="28"/>
        <v/>
      </c>
      <c r="AZ20" s="49" t="str">
        <f>IF(AND($F20&gt;=AZ$5,$F20&lt;=AZ$5+6),"*","")</f>
        <v>*</v>
      </c>
      <c r="BA20" s="49" t="str">
        <f t="shared" ref="BA20:BM20" si="29">IF(AND($F20&gt;=BA$5,$F20&lt;=BA$5+6),"◆","")</f>
        <v/>
      </c>
      <c r="BB20" s="49" t="str">
        <f t="shared" si="29"/>
        <v/>
      </c>
      <c r="BC20" s="49" t="str">
        <f t="shared" si="29"/>
        <v/>
      </c>
      <c r="BD20" s="49" t="str">
        <f t="shared" si="29"/>
        <v/>
      </c>
      <c r="BE20" s="49" t="str">
        <f t="shared" si="29"/>
        <v/>
      </c>
      <c r="BF20" s="49" t="str">
        <f t="shared" si="29"/>
        <v/>
      </c>
      <c r="BG20" s="49" t="str">
        <f t="shared" si="29"/>
        <v/>
      </c>
      <c r="BH20" s="49" t="str">
        <f t="shared" si="29"/>
        <v/>
      </c>
      <c r="BI20" s="49" t="str">
        <f t="shared" si="29"/>
        <v/>
      </c>
      <c r="BJ20" s="49" t="str">
        <f t="shared" si="29"/>
        <v/>
      </c>
      <c r="BK20" s="49" t="str">
        <f t="shared" si="29"/>
        <v/>
      </c>
      <c r="BL20" s="49" t="str">
        <f t="shared" si="29"/>
        <v/>
      </c>
      <c r="BM20" s="49" t="str">
        <f t="shared" si="29"/>
        <v/>
      </c>
    </row>
    <row r="21" ht="15.75" customHeight="1" outlineLevel="1">
      <c r="A21" s="57" t="s">
        <v>188</v>
      </c>
      <c r="B21" s="60" t="s">
        <v>209</v>
      </c>
      <c r="C21" s="58" t="s">
        <v>210</v>
      </c>
      <c r="D21" s="59" t="s">
        <v>211</v>
      </c>
      <c r="E21" s="60">
        <v>0.0</v>
      </c>
      <c r="F21" s="61">
        <f>MAX($G$191)</f>
        <v>46564</v>
      </c>
      <c r="G21" s="61">
        <f t="shared" si="27"/>
        <v>46564</v>
      </c>
      <c r="H21" s="62" t="s">
        <v>212</v>
      </c>
      <c r="I21" s="58" t="s">
        <v>147</v>
      </c>
      <c r="J21" s="57" t="str">
        <f t="array" ref="J21">IF(K21&gt;=1,"Cumplido",IF(FECHA_ESTADO&gt;DATE(2027,6,26),"Atrasado",IF(INDEX(NLAB,MATCH(DATE(2027,6,26),FECHAS,0))-INDEX(NLAB,MATCH(F21,FECHAS,0))&lt;0,"En riesgo","Pendiente")))</f>
        <v>Pendiente</v>
      </c>
      <c r="K21" s="63">
        <f>IF(MIN($K$191)&gt;=1,1,0)</f>
        <v>0</v>
      </c>
      <c r="L21" s="57">
        <f t="array" ref="L21">INDEX(NLAB,MATCH(DATE(2027,6,26),FECHAS,0))-INDEX(NLAB,MATCH(F21,FECHAS,0))</f>
        <v>0</v>
      </c>
      <c r="M21" s="60" t="s">
        <v>148</v>
      </c>
      <c r="N21" s="57" t="s">
        <v>149</v>
      </c>
      <c r="P21" s="49" t="str">
        <f t="shared" ref="P21:BC21" si="30">IF(AND($F21&gt;=P$5,$F21&lt;=P$5+6),"◆","")</f>
        <v/>
      </c>
      <c r="Q21" s="49" t="str">
        <f t="shared" si="30"/>
        <v/>
      </c>
      <c r="R21" s="49" t="str">
        <f t="shared" si="30"/>
        <v/>
      </c>
      <c r="S21" s="49" t="str">
        <f t="shared" si="30"/>
        <v/>
      </c>
      <c r="T21" s="49" t="str">
        <f t="shared" si="30"/>
        <v/>
      </c>
      <c r="U21" s="49" t="str">
        <f t="shared" si="30"/>
        <v/>
      </c>
      <c r="V21" s="49" t="str">
        <f t="shared" si="30"/>
        <v/>
      </c>
      <c r="W21" s="49" t="str">
        <f t="shared" si="30"/>
        <v/>
      </c>
      <c r="X21" s="49" t="str">
        <f t="shared" si="30"/>
        <v/>
      </c>
      <c r="Y21" s="49" t="str">
        <f t="shared" si="30"/>
        <v/>
      </c>
      <c r="Z21" s="49" t="str">
        <f t="shared" si="30"/>
        <v/>
      </c>
      <c r="AA21" s="49" t="str">
        <f t="shared" si="30"/>
        <v/>
      </c>
      <c r="AB21" s="49" t="str">
        <f t="shared" si="30"/>
        <v/>
      </c>
      <c r="AC21" s="49" t="str">
        <f t="shared" si="30"/>
        <v/>
      </c>
      <c r="AD21" s="49" t="str">
        <f t="shared" si="30"/>
        <v/>
      </c>
      <c r="AE21" s="49" t="str">
        <f t="shared" si="30"/>
        <v/>
      </c>
      <c r="AF21" s="49" t="str">
        <f t="shared" si="30"/>
        <v/>
      </c>
      <c r="AG21" s="49" t="str">
        <f t="shared" si="30"/>
        <v/>
      </c>
      <c r="AH21" s="49" t="str">
        <f t="shared" si="30"/>
        <v/>
      </c>
      <c r="AI21" s="49" t="str">
        <f t="shared" si="30"/>
        <v/>
      </c>
      <c r="AJ21" s="49" t="str">
        <f t="shared" si="30"/>
        <v/>
      </c>
      <c r="AK21" s="49" t="str">
        <f t="shared" si="30"/>
        <v/>
      </c>
      <c r="AL21" s="49" t="str">
        <f t="shared" si="30"/>
        <v/>
      </c>
      <c r="AM21" s="49" t="str">
        <f t="shared" si="30"/>
        <v/>
      </c>
      <c r="AN21" s="49" t="str">
        <f t="shared" si="30"/>
        <v/>
      </c>
      <c r="AO21" s="49" t="str">
        <f t="shared" si="30"/>
        <v/>
      </c>
      <c r="AP21" s="49" t="str">
        <f t="shared" si="30"/>
        <v/>
      </c>
      <c r="AQ21" s="49" t="str">
        <f t="shared" si="30"/>
        <v/>
      </c>
      <c r="AR21" s="49" t="str">
        <f t="shared" si="30"/>
        <v/>
      </c>
      <c r="AS21" s="49" t="str">
        <f t="shared" si="30"/>
        <v/>
      </c>
      <c r="AT21" s="49" t="str">
        <f t="shared" si="30"/>
        <v/>
      </c>
      <c r="AU21" s="49" t="str">
        <f t="shared" si="30"/>
        <v/>
      </c>
      <c r="AV21" s="49" t="str">
        <f t="shared" si="30"/>
        <v/>
      </c>
      <c r="AW21" s="49" t="str">
        <f t="shared" si="30"/>
        <v/>
      </c>
      <c r="AX21" s="49" t="str">
        <f t="shared" si="30"/>
        <v/>
      </c>
      <c r="AY21" s="49" t="str">
        <f t="shared" si="30"/>
        <v/>
      </c>
      <c r="AZ21" s="49" t="str">
        <f t="shared" si="30"/>
        <v/>
      </c>
      <c r="BA21" s="49" t="str">
        <f t="shared" si="30"/>
        <v/>
      </c>
      <c r="BB21" s="49" t="str">
        <f t="shared" si="30"/>
        <v/>
      </c>
      <c r="BC21" s="49" t="str">
        <f t="shared" si="30"/>
        <v/>
      </c>
      <c r="BD21" s="49" t="str">
        <f>IF(AND($F21&gt;=BD$5,$F21&lt;=BD$5+6),"*","")</f>
        <v>*</v>
      </c>
      <c r="BE21" s="49" t="str">
        <f t="shared" ref="BE21:BM21" si="31">IF(AND($F21&gt;=BE$5,$F21&lt;=BE$5+6),"◆","")</f>
        <v/>
      </c>
      <c r="BF21" s="49" t="str">
        <f t="shared" si="31"/>
        <v/>
      </c>
      <c r="BG21" s="49" t="str">
        <f t="shared" si="31"/>
        <v/>
      </c>
      <c r="BH21" s="49" t="str">
        <f t="shared" si="31"/>
        <v/>
      </c>
      <c r="BI21" s="49" t="str">
        <f t="shared" si="31"/>
        <v/>
      </c>
      <c r="BJ21" s="49" t="str">
        <f t="shared" si="31"/>
        <v/>
      </c>
      <c r="BK21" s="49" t="str">
        <f t="shared" si="31"/>
        <v/>
      </c>
      <c r="BL21" s="49" t="str">
        <f t="shared" si="31"/>
        <v/>
      </c>
      <c r="BM21" s="49" t="str">
        <f t="shared" si="31"/>
        <v/>
      </c>
    </row>
    <row r="22" ht="27.0" customHeight="1" outlineLevel="1">
      <c r="A22" s="57" t="s">
        <v>188</v>
      </c>
      <c r="B22" s="57" t="s">
        <v>213</v>
      </c>
      <c r="C22" s="58" t="s">
        <v>214</v>
      </c>
      <c r="D22" s="59" t="s">
        <v>215</v>
      </c>
      <c r="E22" s="60">
        <v>0.0</v>
      </c>
      <c r="F22" s="61">
        <f>MAX($G$304)</f>
        <v>46600</v>
      </c>
      <c r="G22" s="61">
        <f t="shared" si="27"/>
        <v>46600</v>
      </c>
      <c r="H22" s="62" t="s">
        <v>216</v>
      </c>
      <c r="I22" s="58" t="s">
        <v>147</v>
      </c>
      <c r="J22" s="57" t="str">
        <f t="array" ref="J22">IF(K22&gt;=1,"Cumplido",IF(FECHA_ESTADO&gt;DATE(2027,8,1),"Atrasado",IF(INDEX(NLAB,MATCH(DATE(2027,8,1),FECHAS,0))-INDEX(NLAB,MATCH(F22,FECHAS,0))&lt;0,"En riesgo","Pendiente")))</f>
        <v>Pendiente</v>
      </c>
      <c r="K22" s="63">
        <f>IF(MIN($K$304)&gt;=1,1,0)</f>
        <v>0</v>
      </c>
      <c r="L22" s="57">
        <f t="array" ref="L22">INDEX(NLAB,MATCH(DATE(2027,8,1),FECHAS,0))-INDEX(NLAB,MATCH(F22,FECHAS,0))</f>
        <v>0</v>
      </c>
      <c r="M22" s="60" t="s">
        <v>148</v>
      </c>
      <c r="N22" s="57" t="s">
        <v>149</v>
      </c>
      <c r="P22" s="49" t="str">
        <f t="shared" ref="P22:BH22" si="32">IF(AND($F22&gt;=P$5,$F22&lt;=P$5+6),"◆","")</f>
        <v/>
      </c>
      <c r="Q22" s="49" t="str">
        <f t="shared" si="32"/>
        <v/>
      </c>
      <c r="R22" s="49" t="str">
        <f t="shared" si="32"/>
        <v/>
      </c>
      <c r="S22" s="49" t="str">
        <f t="shared" si="32"/>
        <v/>
      </c>
      <c r="T22" s="49" t="str">
        <f t="shared" si="32"/>
        <v/>
      </c>
      <c r="U22" s="49" t="str">
        <f t="shared" si="32"/>
        <v/>
      </c>
      <c r="V22" s="49" t="str">
        <f t="shared" si="32"/>
        <v/>
      </c>
      <c r="W22" s="49" t="str">
        <f t="shared" si="32"/>
        <v/>
      </c>
      <c r="X22" s="49" t="str">
        <f t="shared" si="32"/>
        <v/>
      </c>
      <c r="Y22" s="49" t="str">
        <f t="shared" si="32"/>
        <v/>
      </c>
      <c r="Z22" s="49" t="str">
        <f t="shared" si="32"/>
        <v/>
      </c>
      <c r="AA22" s="49" t="str">
        <f t="shared" si="32"/>
        <v/>
      </c>
      <c r="AB22" s="49" t="str">
        <f t="shared" si="32"/>
        <v/>
      </c>
      <c r="AC22" s="49" t="str">
        <f t="shared" si="32"/>
        <v/>
      </c>
      <c r="AD22" s="49" t="str">
        <f t="shared" si="32"/>
        <v/>
      </c>
      <c r="AE22" s="49" t="str">
        <f t="shared" si="32"/>
        <v/>
      </c>
      <c r="AF22" s="49" t="str">
        <f t="shared" si="32"/>
        <v/>
      </c>
      <c r="AG22" s="49" t="str">
        <f t="shared" si="32"/>
        <v/>
      </c>
      <c r="AH22" s="49" t="str">
        <f t="shared" si="32"/>
        <v/>
      </c>
      <c r="AI22" s="49" t="str">
        <f t="shared" si="32"/>
        <v/>
      </c>
      <c r="AJ22" s="49" t="str">
        <f t="shared" si="32"/>
        <v/>
      </c>
      <c r="AK22" s="49" t="str">
        <f t="shared" si="32"/>
        <v/>
      </c>
      <c r="AL22" s="49" t="str">
        <f t="shared" si="32"/>
        <v/>
      </c>
      <c r="AM22" s="49" t="str">
        <f t="shared" si="32"/>
        <v/>
      </c>
      <c r="AN22" s="49" t="str">
        <f t="shared" si="32"/>
        <v/>
      </c>
      <c r="AO22" s="49" t="str">
        <f t="shared" si="32"/>
        <v/>
      </c>
      <c r="AP22" s="49" t="str">
        <f t="shared" si="32"/>
        <v/>
      </c>
      <c r="AQ22" s="49" t="str">
        <f t="shared" si="32"/>
        <v/>
      </c>
      <c r="AR22" s="49" t="str">
        <f t="shared" si="32"/>
        <v/>
      </c>
      <c r="AS22" s="49" t="str">
        <f t="shared" si="32"/>
        <v/>
      </c>
      <c r="AT22" s="49" t="str">
        <f t="shared" si="32"/>
        <v/>
      </c>
      <c r="AU22" s="49" t="str">
        <f t="shared" si="32"/>
        <v/>
      </c>
      <c r="AV22" s="49" t="str">
        <f t="shared" si="32"/>
        <v/>
      </c>
      <c r="AW22" s="49" t="str">
        <f t="shared" si="32"/>
        <v/>
      </c>
      <c r="AX22" s="49" t="str">
        <f t="shared" si="32"/>
        <v/>
      </c>
      <c r="AY22" s="49" t="str">
        <f t="shared" si="32"/>
        <v/>
      </c>
      <c r="AZ22" s="49" t="str">
        <f t="shared" si="32"/>
        <v/>
      </c>
      <c r="BA22" s="49" t="str">
        <f t="shared" si="32"/>
        <v/>
      </c>
      <c r="BB22" s="49" t="str">
        <f t="shared" si="32"/>
        <v/>
      </c>
      <c r="BC22" s="49" t="str">
        <f t="shared" si="32"/>
        <v/>
      </c>
      <c r="BD22" s="49" t="str">
        <f t="shared" si="32"/>
        <v/>
      </c>
      <c r="BE22" s="49" t="str">
        <f t="shared" si="32"/>
        <v/>
      </c>
      <c r="BF22" s="49" t="str">
        <f t="shared" si="32"/>
        <v/>
      </c>
      <c r="BG22" s="49" t="str">
        <f t="shared" si="32"/>
        <v/>
      </c>
      <c r="BH22" s="49" t="str">
        <f t="shared" si="32"/>
        <v/>
      </c>
      <c r="BI22" s="49" t="str">
        <f>IF(AND($F22&gt;=BI$5,$F22&lt;=BI$5+6),"*","")</f>
        <v>*</v>
      </c>
      <c r="BJ22" s="49" t="str">
        <f t="shared" ref="BJ22:BM22" si="33">IF(AND($F22&gt;=BJ$5,$F22&lt;=BJ$5+6),"◆","")</f>
        <v/>
      </c>
      <c r="BK22" s="49" t="str">
        <f t="shared" si="33"/>
        <v/>
      </c>
      <c r="BL22" s="49" t="str">
        <f t="shared" si="33"/>
        <v/>
      </c>
      <c r="BM22" s="49" t="str">
        <f t="shared" si="33"/>
        <v/>
      </c>
    </row>
    <row r="23" ht="27.0" customHeight="1" outlineLevel="1">
      <c r="A23" s="67" t="s">
        <v>217</v>
      </c>
      <c r="B23" s="67" t="s">
        <v>218</v>
      </c>
      <c r="C23" s="68" t="s">
        <v>219</v>
      </c>
      <c r="D23" s="69" t="s">
        <v>220</v>
      </c>
      <c r="E23" s="70">
        <v>0.0</v>
      </c>
      <c r="F23" s="71">
        <f>MAX($G$326)</f>
        <v>46479</v>
      </c>
      <c r="G23" s="71">
        <f t="shared" si="27"/>
        <v>46479</v>
      </c>
      <c r="H23" s="72" t="s">
        <v>221</v>
      </c>
      <c r="I23" s="68" t="s">
        <v>147</v>
      </c>
      <c r="J23" s="67" t="str">
        <f t="array" ref="J23">IF(K23&gt;=1,"Cumplido",IF(FECHA_ESTADO&gt;DATE(2027,4,2),"Atrasado",IF(INDEX(NLAB,MATCH(DATE(2027,4,2),FECHAS,0))-INDEX(NLAB,MATCH(F23,FECHAS,0))&lt;0,"En riesgo","Pendiente")))</f>
        <v>Pendiente</v>
      </c>
      <c r="K23" s="73">
        <f>IF(MIN($K$326)&gt;=1,1,0)</f>
        <v>0</v>
      </c>
      <c r="L23" s="67">
        <f t="array" ref="L23">INDEX(NLAB,MATCH(DATE(2027,4,2),FECHAS,0))-INDEX(NLAB,MATCH(F23,FECHAS,0))</f>
        <v>0</v>
      </c>
      <c r="M23" s="70" t="s">
        <v>148</v>
      </c>
      <c r="N23" s="67" t="s">
        <v>149</v>
      </c>
      <c r="P23" s="49" t="str">
        <f t="shared" ref="P23:AQ23" si="34">IF(AND($F23&gt;=P$5,$F23&lt;=P$5+6),"◆","")</f>
        <v/>
      </c>
      <c r="Q23" s="49" t="str">
        <f t="shared" si="34"/>
        <v/>
      </c>
      <c r="R23" s="49" t="str">
        <f t="shared" si="34"/>
        <v/>
      </c>
      <c r="S23" s="49" t="str">
        <f t="shared" si="34"/>
        <v/>
      </c>
      <c r="T23" s="49" t="str">
        <f t="shared" si="34"/>
        <v/>
      </c>
      <c r="U23" s="49" t="str">
        <f t="shared" si="34"/>
        <v/>
      </c>
      <c r="V23" s="49" t="str">
        <f t="shared" si="34"/>
        <v/>
      </c>
      <c r="W23" s="49" t="str">
        <f t="shared" si="34"/>
        <v/>
      </c>
      <c r="X23" s="49" t="str">
        <f t="shared" si="34"/>
        <v/>
      </c>
      <c r="Y23" s="49" t="str">
        <f t="shared" si="34"/>
        <v/>
      </c>
      <c r="Z23" s="49" t="str">
        <f t="shared" si="34"/>
        <v/>
      </c>
      <c r="AA23" s="49" t="str">
        <f t="shared" si="34"/>
        <v/>
      </c>
      <c r="AB23" s="49" t="str">
        <f t="shared" si="34"/>
        <v/>
      </c>
      <c r="AC23" s="49" t="str">
        <f t="shared" si="34"/>
        <v/>
      </c>
      <c r="AD23" s="49" t="str">
        <f t="shared" si="34"/>
        <v/>
      </c>
      <c r="AE23" s="49" t="str">
        <f t="shared" si="34"/>
        <v/>
      </c>
      <c r="AF23" s="49" t="str">
        <f t="shared" si="34"/>
        <v/>
      </c>
      <c r="AG23" s="49" t="str">
        <f t="shared" si="34"/>
        <v/>
      </c>
      <c r="AH23" s="49" t="str">
        <f t="shared" si="34"/>
        <v/>
      </c>
      <c r="AI23" s="49" t="str">
        <f t="shared" si="34"/>
        <v/>
      </c>
      <c r="AJ23" s="49" t="str">
        <f t="shared" si="34"/>
        <v/>
      </c>
      <c r="AK23" s="49" t="str">
        <f t="shared" si="34"/>
        <v/>
      </c>
      <c r="AL23" s="49" t="str">
        <f t="shared" si="34"/>
        <v/>
      </c>
      <c r="AM23" s="49" t="str">
        <f t="shared" si="34"/>
        <v/>
      </c>
      <c r="AN23" s="49" t="str">
        <f t="shared" si="34"/>
        <v/>
      </c>
      <c r="AO23" s="49" t="str">
        <f t="shared" si="34"/>
        <v/>
      </c>
      <c r="AP23" s="49" t="str">
        <f t="shared" si="34"/>
        <v/>
      </c>
      <c r="AQ23" s="49" t="str">
        <f t="shared" si="34"/>
        <v/>
      </c>
      <c r="AR23" s="49" t="str">
        <f>IF(AND($F23&gt;=AR$5,$F23&lt;=AR$5+6),"*","")</f>
        <v>*</v>
      </c>
      <c r="AS23" s="49" t="str">
        <f t="shared" ref="AS23:BM23" si="35">IF(AND($F23&gt;=AS$5,$F23&lt;=AS$5+6),"◆","")</f>
        <v/>
      </c>
      <c r="AT23" s="49" t="str">
        <f t="shared" si="35"/>
        <v/>
      </c>
      <c r="AU23" s="49" t="str">
        <f t="shared" si="35"/>
        <v/>
      </c>
      <c r="AV23" s="49" t="str">
        <f t="shared" si="35"/>
        <v/>
      </c>
      <c r="AW23" s="49" t="str">
        <f t="shared" si="35"/>
        <v/>
      </c>
      <c r="AX23" s="49" t="str">
        <f t="shared" si="35"/>
        <v/>
      </c>
      <c r="AY23" s="49" t="str">
        <f t="shared" si="35"/>
        <v/>
      </c>
      <c r="AZ23" s="49" t="str">
        <f t="shared" si="35"/>
        <v/>
      </c>
      <c r="BA23" s="49" t="str">
        <f t="shared" si="35"/>
        <v/>
      </c>
      <c r="BB23" s="49" t="str">
        <f t="shared" si="35"/>
        <v/>
      </c>
      <c r="BC23" s="49" t="str">
        <f t="shared" si="35"/>
        <v/>
      </c>
      <c r="BD23" s="49" t="str">
        <f t="shared" si="35"/>
        <v/>
      </c>
      <c r="BE23" s="49" t="str">
        <f t="shared" si="35"/>
        <v/>
      </c>
      <c r="BF23" s="49" t="str">
        <f t="shared" si="35"/>
        <v/>
      </c>
      <c r="BG23" s="49" t="str">
        <f t="shared" si="35"/>
        <v/>
      </c>
      <c r="BH23" s="49" t="str">
        <f t="shared" si="35"/>
        <v/>
      </c>
      <c r="BI23" s="49" t="str">
        <f t="shared" si="35"/>
        <v/>
      </c>
      <c r="BJ23" s="49" t="str">
        <f t="shared" si="35"/>
        <v/>
      </c>
      <c r="BK23" s="49" t="str">
        <f t="shared" si="35"/>
        <v/>
      </c>
      <c r="BL23" s="49" t="str">
        <f t="shared" si="35"/>
        <v/>
      </c>
      <c r="BM23" s="49" t="str">
        <f t="shared" si="35"/>
        <v/>
      </c>
    </row>
    <row r="24" ht="27.0" customHeight="1" outlineLevel="1">
      <c r="A24" s="67" t="s">
        <v>217</v>
      </c>
      <c r="B24" s="70" t="s">
        <v>222</v>
      </c>
      <c r="C24" s="68" t="s">
        <v>223</v>
      </c>
      <c r="D24" s="69" t="s">
        <v>224</v>
      </c>
      <c r="E24" s="70">
        <v>0.0</v>
      </c>
      <c r="F24" s="71">
        <f>MAX($G$329)</f>
        <v>46507</v>
      </c>
      <c r="G24" s="71">
        <f t="shared" si="27"/>
        <v>46507</v>
      </c>
      <c r="H24" s="72" t="s">
        <v>225</v>
      </c>
      <c r="I24" s="68" t="s">
        <v>147</v>
      </c>
      <c r="J24" s="67" t="str">
        <f t="array" ref="J24">IF(K24&gt;=1,"Cumplido",IF(FECHA_ESTADO&gt;DATE(2027,4,30),"Atrasado",IF(INDEX(NLAB,MATCH(DATE(2027,4,30),FECHAS,0))-INDEX(NLAB,MATCH(F24,FECHAS,0))&lt;0,"En riesgo","Pendiente")))</f>
        <v>Pendiente</v>
      </c>
      <c r="K24" s="73">
        <f>IF(MIN($K$329)&gt;=1,1,0)</f>
        <v>0</v>
      </c>
      <c r="L24" s="67">
        <f t="array" ref="L24">INDEX(NLAB,MATCH(DATE(2027,4,30),FECHAS,0))-INDEX(NLAB,MATCH(F24,FECHAS,0))</f>
        <v>0</v>
      </c>
      <c r="M24" s="70" t="s">
        <v>148</v>
      </c>
      <c r="N24" s="67" t="s">
        <v>149</v>
      </c>
      <c r="P24" s="49" t="str">
        <f t="shared" ref="P24:AU24" si="36">IF(AND($F24&gt;=P$5,$F24&lt;=P$5+6),"◆","")</f>
        <v/>
      </c>
      <c r="Q24" s="49" t="str">
        <f t="shared" si="36"/>
        <v/>
      </c>
      <c r="R24" s="49" t="str">
        <f t="shared" si="36"/>
        <v/>
      </c>
      <c r="S24" s="49" t="str">
        <f t="shared" si="36"/>
        <v/>
      </c>
      <c r="T24" s="49" t="str">
        <f t="shared" si="36"/>
        <v/>
      </c>
      <c r="U24" s="49" t="str">
        <f t="shared" si="36"/>
        <v/>
      </c>
      <c r="V24" s="49" t="str">
        <f t="shared" si="36"/>
        <v/>
      </c>
      <c r="W24" s="49" t="str">
        <f t="shared" si="36"/>
        <v/>
      </c>
      <c r="X24" s="49" t="str">
        <f t="shared" si="36"/>
        <v/>
      </c>
      <c r="Y24" s="49" t="str">
        <f t="shared" si="36"/>
        <v/>
      </c>
      <c r="Z24" s="49" t="str">
        <f t="shared" si="36"/>
        <v/>
      </c>
      <c r="AA24" s="49" t="str">
        <f t="shared" si="36"/>
        <v/>
      </c>
      <c r="AB24" s="49" t="str">
        <f t="shared" si="36"/>
        <v/>
      </c>
      <c r="AC24" s="49" t="str">
        <f t="shared" si="36"/>
        <v/>
      </c>
      <c r="AD24" s="49" t="str">
        <f t="shared" si="36"/>
        <v/>
      </c>
      <c r="AE24" s="49" t="str">
        <f t="shared" si="36"/>
        <v/>
      </c>
      <c r="AF24" s="49" t="str">
        <f t="shared" si="36"/>
        <v/>
      </c>
      <c r="AG24" s="49" t="str">
        <f t="shared" si="36"/>
        <v/>
      </c>
      <c r="AH24" s="49" t="str">
        <f t="shared" si="36"/>
        <v/>
      </c>
      <c r="AI24" s="49" t="str">
        <f t="shared" si="36"/>
        <v/>
      </c>
      <c r="AJ24" s="49" t="str">
        <f t="shared" si="36"/>
        <v/>
      </c>
      <c r="AK24" s="49" t="str">
        <f t="shared" si="36"/>
        <v/>
      </c>
      <c r="AL24" s="49" t="str">
        <f t="shared" si="36"/>
        <v/>
      </c>
      <c r="AM24" s="49" t="str">
        <f t="shared" si="36"/>
        <v/>
      </c>
      <c r="AN24" s="49" t="str">
        <f t="shared" si="36"/>
        <v/>
      </c>
      <c r="AO24" s="49" t="str">
        <f t="shared" si="36"/>
        <v/>
      </c>
      <c r="AP24" s="49" t="str">
        <f t="shared" si="36"/>
        <v/>
      </c>
      <c r="AQ24" s="49" t="str">
        <f t="shared" si="36"/>
        <v/>
      </c>
      <c r="AR24" s="49" t="str">
        <f t="shared" si="36"/>
        <v/>
      </c>
      <c r="AS24" s="49" t="str">
        <f t="shared" si="36"/>
        <v/>
      </c>
      <c r="AT24" s="49" t="str">
        <f t="shared" si="36"/>
        <v/>
      </c>
      <c r="AU24" s="49" t="str">
        <f t="shared" si="36"/>
        <v/>
      </c>
      <c r="AV24" s="49" t="str">
        <f>IF(AND($F24&gt;=AV$5,$F24&lt;=AV$5+6),"*","")</f>
        <v>*</v>
      </c>
      <c r="AW24" s="49" t="str">
        <f t="shared" ref="AW24:BM24" si="37">IF(AND($F24&gt;=AW$5,$F24&lt;=AW$5+6),"◆","")</f>
        <v/>
      </c>
      <c r="AX24" s="49" t="str">
        <f t="shared" si="37"/>
        <v/>
      </c>
      <c r="AY24" s="49" t="str">
        <f t="shared" si="37"/>
        <v/>
      </c>
      <c r="AZ24" s="49" t="str">
        <f t="shared" si="37"/>
        <v/>
      </c>
      <c r="BA24" s="49" t="str">
        <f t="shared" si="37"/>
        <v/>
      </c>
      <c r="BB24" s="49" t="str">
        <f t="shared" si="37"/>
        <v/>
      </c>
      <c r="BC24" s="49" t="str">
        <f t="shared" si="37"/>
        <v/>
      </c>
      <c r="BD24" s="49" t="str">
        <f t="shared" si="37"/>
        <v/>
      </c>
      <c r="BE24" s="49" t="str">
        <f t="shared" si="37"/>
        <v/>
      </c>
      <c r="BF24" s="49" t="str">
        <f t="shared" si="37"/>
        <v/>
      </c>
      <c r="BG24" s="49" t="str">
        <f t="shared" si="37"/>
        <v/>
      </c>
      <c r="BH24" s="49" t="str">
        <f t="shared" si="37"/>
        <v/>
      </c>
      <c r="BI24" s="49" t="str">
        <f t="shared" si="37"/>
        <v/>
      </c>
      <c r="BJ24" s="49" t="str">
        <f t="shared" si="37"/>
        <v/>
      </c>
      <c r="BK24" s="49" t="str">
        <f t="shared" si="37"/>
        <v/>
      </c>
      <c r="BL24" s="49" t="str">
        <f t="shared" si="37"/>
        <v/>
      </c>
      <c r="BM24" s="49" t="str">
        <f t="shared" si="37"/>
        <v/>
      </c>
    </row>
    <row r="25" ht="27.0" customHeight="1" outlineLevel="1">
      <c r="A25" s="67" t="s">
        <v>217</v>
      </c>
      <c r="B25" s="67" t="s">
        <v>226</v>
      </c>
      <c r="C25" s="68" t="s">
        <v>227</v>
      </c>
      <c r="D25" s="69" t="s">
        <v>228</v>
      </c>
      <c r="E25" s="70">
        <v>0.0</v>
      </c>
      <c r="F25" s="71">
        <f>MAX($G$332)</f>
        <v>46542</v>
      </c>
      <c r="G25" s="71">
        <f t="shared" si="27"/>
        <v>46542</v>
      </c>
      <c r="H25" s="72" t="s">
        <v>229</v>
      </c>
      <c r="I25" s="68" t="s">
        <v>147</v>
      </c>
      <c r="J25" s="67" t="str">
        <f t="array" ref="J25">IF(K25&gt;=1,"Cumplido",IF(FECHA_ESTADO&gt;DATE(2027,6,4),"Atrasado",IF(INDEX(NLAB,MATCH(DATE(2027,6,4),FECHAS,0))-INDEX(NLAB,MATCH(F25,FECHAS,0))&lt;0,"En riesgo","Pendiente")))</f>
        <v>Pendiente</v>
      </c>
      <c r="K25" s="73">
        <f>IF(MIN($K$332)&gt;=1,1,0)</f>
        <v>0</v>
      </c>
      <c r="L25" s="67">
        <f t="array" ref="L25">INDEX(NLAB,MATCH(DATE(2027,6,4),FECHAS,0))-INDEX(NLAB,MATCH(F25,FECHAS,0))</f>
        <v>0</v>
      </c>
      <c r="M25" s="70" t="s">
        <v>148</v>
      </c>
      <c r="N25" s="67" t="s">
        <v>149</v>
      </c>
      <c r="P25" s="49" t="str">
        <f t="shared" ref="P25:AZ25" si="38">IF(AND($F25&gt;=P$5,$F25&lt;=P$5+6),"◆","")</f>
        <v/>
      </c>
      <c r="Q25" s="49" t="str">
        <f t="shared" si="38"/>
        <v/>
      </c>
      <c r="R25" s="49" t="str">
        <f t="shared" si="38"/>
        <v/>
      </c>
      <c r="S25" s="49" t="str">
        <f t="shared" si="38"/>
        <v/>
      </c>
      <c r="T25" s="49" t="str">
        <f t="shared" si="38"/>
        <v/>
      </c>
      <c r="U25" s="49" t="str">
        <f t="shared" si="38"/>
        <v/>
      </c>
      <c r="V25" s="49" t="str">
        <f t="shared" si="38"/>
        <v/>
      </c>
      <c r="W25" s="49" t="str">
        <f t="shared" si="38"/>
        <v/>
      </c>
      <c r="X25" s="49" t="str">
        <f t="shared" si="38"/>
        <v/>
      </c>
      <c r="Y25" s="49" t="str">
        <f t="shared" si="38"/>
        <v/>
      </c>
      <c r="Z25" s="49" t="str">
        <f t="shared" si="38"/>
        <v/>
      </c>
      <c r="AA25" s="49" t="str">
        <f t="shared" si="38"/>
        <v/>
      </c>
      <c r="AB25" s="49" t="str">
        <f t="shared" si="38"/>
        <v/>
      </c>
      <c r="AC25" s="49" t="str">
        <f t="shared" si="38"/>
        <v/>
      </c>
      <c r="AD25" s="49" t="str">
        <f t="shared" si="38"/>
        <v/>
      </c>
      <c r="AE25" s="49" t="str">
        <f t="shared" si="38"/>
        <v/>
      </c>
      <c r="AF25" s="49" t="str">
        <f t="shared" si="38"/>
        <v/>
      </c>
      <c r="AG25" s="49" t="str">
        <f t="shared" si="38"/>
        <v/>
      </c>
      <c r="AH25" s="49" t="str">
        <f t="shared" si="38"/>
        <v/>
      </c>
      <c r="AI25" s="49" t="str">
        <f t="shared" si="38"/>
        <v/>
      </c>
      <c r="AJ25" s="49" t="str">
        <f t="shared" si="38"/>
        <v/>
      </c>
      <c r="AK25" s="49" t="str">
        <f t="shared" si="38"/>
        <v/>
      </c>
      <c r="AL25" s="49" t="str">
        <f t="shared" si="38"/>
        <v/>
      </c>
      <c r="AM25" s="49" t="str">
        <f t="shared" si="38"/>
        <v/>
      </c>
      <c r="AN25" s="49" t="str">
        <f t="shared" si="38"/>
        <v/>
      </c>
      <c r="AO25" s="49" t="str">
        <f t="shared" si="38"/>
        <v/>
      </c>
      <c r="AP25" s="49" t="str">
        <f t="shared" si="38"/>
        <v/>
      </c>
      <c r="AQ25" s="49" t="str">
        <f t="shared" si="38"/>
        <v/>
      </c>
      <c r="AR25" s="49" t="str">
        <f t="shared" si="38"/>
        <v/>
      </c>
      <c r="AS25" s="49" t="str">
        <f t="shared" si="38"/>
        <v/>
      </c>
      <c r="AT25" s="49" t="str">
        <f t="shared" si="38"/>
        <v/>
      </c>
      <c r="AU25" s="49" t="str">
        <f t="shared" si="38"/>
        <v/>
      </c>
      <c r="AV25" s="49" t="str">
        <f t="shared" si="38"/>
        <v/>
      </c>
      <c r="AW25" s="49" t="str">
        <f t="shared" si="38"/>
        <v/>
      </c>
      <c r="AX25" s="49" t="str">
        <f t="shared" si="38"/>
        <v/>
      </c>
      <c r="AY25" s="49" t="str">
        <f t="shared" si="38"/>
        <v/>
      </c>
      <c r="AZ25" s="49" t="str">
        <f t="shared" si="38"/>
        <v/>
      </c>
      <c r="BA25" s="49" t="str">
        <f>IF(AND($F25&gt;=BA$5,$F25&lt;=BA$5+6),"*","")</f>
        <v>*</v>
      </c>
      <c r="BB25" s="49" t="str">
        <f t="shared" ref="BB25:BM25" si="39">IF(AND($F25&gt;=BB$5,$F25&lt;=BB$5+6),"◆","")</f>
        <v/>
      </c>
      <c r="BC25" s="49" t="str">
        <f t="shared" si="39"/>
        <v/>
      </c>
      <c r="BD25" s="49" t="str">
        <f t="shared" si="39"/>
        <v/>
      </c>
      <c r="BE25" s="49" t="str">
        <f t="shared" si="39"/>
        <v/>
      </c>
      <c r="BF25" s="49" t="str">
        <f t="shared" si="39"/>
        <v/>
      </c>
      <c r="BG25" s="49" t="str">
        <f t="shared" si="39"/>
        <v/>
      </c>
      <c r="BH25" s="49" t="str">
        <f t="shared" si="39"/>
        <v/>
      </c>
      <c r="BI25" s="49" t="str">
        <f t="shared" si="39"/>
        <v/>
      </c>
      <c r="BJ25" s="49" t="str">
        <f t="shared" si="39"/>
        <v/>
      </c>
      <c r="BK25" s="49" t="str">
        <f t="shared" si="39"/>
        <v/>
      </c>
      <c r="BL25" s="49" t="str">
        <f t="shared" si="39"/>
        <v/>
      </c>
      <c r="BM25" s="49" t="str">
        <f t="shared" si="39"/>
        <v/>
      </c>
    </row>
    <row r="26" ht="27.0" customHeight="1" outlineLevel="1">
      <c r="A26" s="67" t="s">
        <v>217</v>
      </c>
      <c r="B26" s="67" t="s">
        <v>230</v>
      </c>
      <c r="C26" s="68" t="s">
        <v>231</v>
      </c>
      <c r="D26" s="69" t="s">
        <v>232</v>
      </c>
      <c r="E26" s="70">
        <v>0.0</v>
      </c>
      <c r="F26" s="71">
        <f>MAX($G$323)</f>
        <v>46570</v>
      </c>
      <c r="G26" s="71">
        <f t="shared" si="27"/>
        <v>46570</v>
      </c>
      <c r="H26" s="72" t="s">
        <v>233</v>
      </c>
      <c r="I26" s="68" t="s">
        <v>147</v>
      </c>
      <c r="J26" s="67" t="str">
        <f t="array" ref="J26">IF(K26&gt;=1,"Cumplido",IF(FECHA_ESTADO&gt;DATE(2027,7,2),"Atrasado",IF(INDEX(NLAB,MATCH(DATE(2027,7,2),FECHAS,0))-INDEX(NLAB,MATCH(F26,FECHAS,0))&lt;0,"En riesgo","Pendiente")))</f>
        <v>Pendiente</v>
      </c>
      <c r="K26" s="73">
        <f>IF(MIN($K$323)&gt;=1,1,0)</f>
        <v>0</v>
      </c>
      <c r="L26" s="67">
        <f t="array" ref="L26">INDEX(NLAB,MATCH(DATE(2027,7,2),FECHAS,0))-INDEX(NLAB,MATCH(F26,FECHAS,0))</f>
        <v>0</v>
      </c>
      <c r="M26" s="70" t="s">
        <v>148</v>
      </c>
      <c r="N26" s="67" t="s">
        <v>149</v>
      </c>
      <c r="P26" s="49" t="str">
        <f t="shared" ref="P26:BD26" si="40">IF(AND($F26&gt;=P$5,$F26&lt;=P$5+6),"◆","")</f>
        <v/>
      </c>
      <c r="Q26" s="49" t="str">
        <f t="shared" si="40"/>
        <v/>
      </c>
      <c r="R26" s="49" t="str">
        <f t="shared" si="40"/>
        <v/>
      </c>
      <c r="S26" s="49" t="str">
        <f t="shared" si="40"/>
        <v/>
      </c>
      <c r="T26" s="49" t="str">
        <f t="shared" si="40"/>
        <v/>
      </c>
      <c r="U26" s="49" t="str">
        <f t="shared" si="40"/>
        <v/>
      </c>
      <c r="V26" s="49" t="str">
        <f t="shared" si="40"/>
        <v/>
      </c>
      <c r="W26" s="49" t="str">
        <f t="shared" si="40"/>
        <v/>
      </c>
      <c r="X26" s="49" t="str">
        <f t="shared" si="40"/>
        <v/>
      </c>
      <c r="Y26" s="49" t="str">
        <f t="shared" si="40"/>
        <v/>
      </c>
      <c r="Z26" s="49" t="str">
        <f t="shared" si="40"/>
        <v/>
      </c>
      <c r="AA26" s="49" t="str">
        <f t="shared" si="40"/>
        <v/>
      </c>
      <c r="AB26" s="49" t="str">
        <f t="shared" si="40"/>
        <v/>
      </c>
      <c r="AC26" s="49" t="str">
        <f t="shared" si="40"/>
        <v/>
      </c>
      <c r="AD26" s="49" t="str">
        <f t="shared" si="40"/>
        <v/>
      </c>
      <c r="AE26" s="49" t="str">
        <f t="shared" si="40"/>
        <v/>
      </c>
      <c r="AF26" s="49" t="str">
        <f t="shared" si="40"/>
        <v/>
      </c>
      <c r="AG26" s="49" t="str">
        <f t="shared" si="40"/>
        <v/>
      </c>
      <c r="AH26" s="49" t="str">
        <f t="shared" si="40"/>
        <v/>
      </c>
      <c r="AI26" s="49" t="str">
        <f t="shared" si="40"/>
        <v/>
      </c>
      <c r="AJ26" s="49" t="str">
        <f t="shared" si="40"/>
        <v/>
      </c>
      <c r="AK26" s="49" t="str">
        <f t="shared" si="40"/>
        <v/>
      </c>
      <c r="AL26" s="49" t="str">
        <f t="shared" si="40"/>
        <v/>
      </c>
      <c r="AM26" s="49" t="str">
        <f t="shared" si="40"/>
        <v/>
      </c>
      <c r="AN26" s="49" t="str">
        <f t="shared" si="40"/>
        <v/>
      </c>
      <c r="AO26" s="49" t="str">
        <f t="shared" si="40"/>
        <v/>
      </c>
      <c r="AP26" s="49" t="str">
        <f t="shared" si="40"/>
        <v/>
      </c>
      <c r="AQ26" s="49" t="str">
        <f t="shared" si="40"/>
        <v/>
      </c>
      <c r="AR26" s="49" t="str">
        <f t="shared" si="40"/>
        <v/>
      </c>
      <c r="AS26" s="49" t="str">
        <f t="shared" si="40"/>
        <v/>
      </c>
      <c r="AT26" s="49" t="str">
        <f t="shared" si="40"/>
        <v/>
      </c>
      <c r="AU26" s="49" t="str">
        <f t="shared" si="40"/>
        <v/>
      </c>
      <c r="AV26" s="49" t="str">
        <f t="shared" si="40"/>
        <v/>
      </c>
      <c r="AW26" s="49" t="str">
        <f t="shared" si="40"/>
        <v/>
      </c>
      <c r="AX26" s="49" t="str">
        <f t="shared" si="40"/>
        <v/>
      </c>
      <c r="AY26" s="49" t="str">
        <f t="shared" si="40"/>
        <v/>
      </c>
      <c r="AZ26" s="49" t="str">
        <f t="shared" si="40"/>
        <v/>
      </c>
      <c r="BA26" s="49" t="str">
        <f t="shared" si="40"/>
        <v/>
      </c>
      <c r="BB26" s="49" t="str">
        <f t="shared" si="40"/>
        <v/>
      </c>
      <c r="BC26" s="49" t="str">
        <f t="shared" si="40"/>
        <v/>
      </c>
      <c r="BD26" s="49" t="str">
        <f t="shared" si="40"/>
        <v/>
      </c>
      <c r="BE26" s="49" t="str">
        <f>IF(AND($F26&gt;=BE$5,$F26&lt;=BE$5+6),"*","")</f>
        <v>*</v>
      </c>
      <c r="BF26" s="49" t="str">
        <f t="shared" ref="BF26:BM26" si="41">IF(AND($F26&gt;=BF$5,$F26&lt;=BF$5+6),"◆","")</f>
        <v/>
      </c>
      <c r="BG26" s="49" t="str">
        <f t="shared" si="41"/>
        <v/>
      </c>
      <c r="BH26" s="49" t="str">
        <f t="shared" si="41"/>
        <v/>
      </c>
      <c r="BI26" s="49" t="str">
        <f t="shared" si="41"/>
        <v/>
      </c>
      <c r="BJ26" s="49" t="str">
        <f t="shared" si="41"/>
        <v/>
      </c>
      <c r="BK26" s="49" t="str">
        <f t="shared" si="41"/>
        <v/>
      </c>
      <c r="BL26" s="49" t="str">
        <f t="shared" si="41"/>
        <v/>
      </c>
      <c r="BM26" s="49" t="str">
        <f t="shared" si="41"/>
        <v/>
      </c>
    </row>
    <row r="27" ht="27.0" customHeight="1" outlineLevel="1">
      <c r="A27" s="67" t="s">
        <v>217</v>
      </c>
      <c r="B27" s="70" t="s">
        <v>234</v>
      </c>
      <c r="C27" s="68" t="s">
        <v>235</v>
      </c>
      <c r="D27" s="69" t="s">
        <v>236</v>
      </c>
      <c r="E27" s="70">
        <v>0.0</v>
      </c>
      <c r="F27" s="71">
        <f>MAX($G$335)</f>
        <v>46604</v>
      </c>
      <c r="G27" s="71">
        <f t="shared" si="27"/>
        <v>46604</v>
      </c>
      <c r="H27" s="72" t="s">
        <v>237</v>
      </c>
      <c r="I27" s="68" t="s">
        <v>147</v>
      </c>
      <c r="J27" s="67" t="str">
        <f t="array" ref="J27">IF(K27&gt;=1,"Cumplido",IF(FECHA_ESTADO&gt;DATE(2027,8,5),"Atrasado",IF(INDEX(NLAB,MATCH(DATE(2027,8,5),FECHAS,0))-INDEX(NLAB,MATCH(F27,FECHAS,0))&lt;0,"En riesgo","Pendiente")))</f>
        <v>Pendiente</v>
      </c>
      <c r="K27" s="73">
        <f>IF(MIN($K$335)&gt;=1,1,0)</f>
        <v>0</v>
      </c>
      <c r="L27" s="67">
        <f t="array" ref="L27">INDEX(NLAB,MATCH(DATE(2027,8,5),FECHAS,0))-INDEX(NLAB,MATCH(F27,FECHAS,0))</f>
        <v>0</v>
      </c>
      <c r="M27" s="70" t="s">
        <v>148</v>
      </c>
      <c r="N27" s="67" t="s">
        <v>149</v>
      </c>
      <c r="P27" s="49" t="str">
        <f t="shared" ref="P27:BI27" si="42">IF(AND($F27&gt;=P$5,$F27&lt;=P$5+6),"◆","")</f>
        <v/>
      </c>
      <c r="Q27" s="49" t="str">
        <f t="shared" si="42"/>
        <v/>
      </c>
      <c r="R27" s="49" t="str">
        <f t="shared" si="42"/>
        <v/>
      </c>
      <c r="S27" s="49" t="str">
        <f t="shared" si="42"/>
        <v/>
      </c>
      <c r="T27" s="49" t="str">
        <f t="shared" si="42"/>
        <v/>
      </c>
      <c r="U27" s="49" t="str">
        <f t="shared" si="42"/>
        <v/>
      </c>
      <c r="V27" s="49" t="str">
        <f t="shared" si="42"/>
        <v/>
      </c>
      <c r="W27" s="49" t="str">
        <f t="shared" si="42"/>
        <v/>
      </c>
      <c r="X27" s="49" t="str">
        <f t="shared" si="42"/>
        <v/>
      </c>
      <c r="Y27" s="49" t="str">
        <f t="shared" si="42"/>
        <v/>
      </c>
      <c r="Z27" s="49" t="str">
        <f t="shared" si="42"/>
        <v/>
      </c>
      <c r="AA27" s="49" t="str">
        <f t="shared" si="42"/>
        <v/>
      </c>
      <c r="AB27" s="49" t="str">
        <f t="shared" si="42"/>
        <v/>
      </c>
      <c r="AC27" s="49" t="str">
        <f t="shared" si="42"/>
        <v/>
      </c>
      <c r="AD27" s="49" t="str">
        <f t="shared" si="42"/>
        <v/>
      </c>
      <c r="AE27" s="49" t="str">
        <f t="shared" si="42"/>
        <v/>
      </c>
      <c r="AF27" s="49" t="str">
        <f t="shared" si="42"/>
        <v/>
      </c>
      <c r="AG27" s="49" t="str">
        <f t="shared" si="42"/>
        <v/>
      </c>
      <c r="AH27" s="49" t="str">
        <f t="shared" si="42"/>
        <v/>
      </c>
      <c r="AI27" s="49" t="str">
        <f t="shared" si="42"/>
        <v/>
      </c>
      <c r="AJ27" s="49" t="str">
        <f t="shared" si="42"/>
        <v/>
      </c>
      <c r="AK27" s="49" t="str">
        <f t="shared" si="42"/>
        <v/>
      </c>
      <c r="AL27" s="49" t="str">
        <f t="shared" si="42"/>
        <v/>
      </c>
      <c r="AM27" s="49" t="str">
        <f t="shared" si="42"/>
        <v/>
      </c>
      <c r="AN27" s="49" t="str">
        <f t="shared" si="42"/>
        <v/>
      </c>
      <c r="AO27" s="49" t="str">
        <f t="shared" si="42"/>
        <v/>
      </c>
      <c r="AP27" s="49" t="str">
        <f t="shared" si="42"/>
        <v/>
      </c>
      <c r="AQ27" s="49" t="str">
        <f t="shared" si="42"/>
        <v/>
      </c>
      <c r="AR27" s="49" t="str">
        <f t="shared" si="42"/>
        <v/>
      </c>
      <c r="AS27" s="49" t="str">
        <f t="shared" si="42"/>
        <v/>
      </c>
      <c r="AT27" s="49" t="str">
        <f t="shared" si="42"/>
        <v/>
      </c>
      <c r="AU27" s="49" t="str">
        <f t="shared" si="42"/>
        <v/>
      </c>
      <c r="AV27" s="49" t="str">
        <f t="shared" si="42"/>
        <v/>
      </c>
      <c r="AW27" s="49" t="str">
        <f t="shared" si="42"/>
        <v/>
      </c>
      <c r="AX27" s="49" t="str">
        <f t="shared" si="42"/>
        <v/>
      </c>
      <c r="AY27" s="49" t="str">
        <f t="shared" si="42"/>
        <v/>
      </c>
      <c r="AZ27" s="49" t="str">
        <f t="shared" si="42"/>
        <v/>
      </c>
      <c r="BA27" s="49" t="str">
        <f t="shared" si="42"/>
        <v/>
      </c>
      <c r="BB27" s="49" t="str">
        <f t="shared" si="42"/>
        <v/>
      </c>
      <c r="BC27" s="49" t="str">
        <f t="shared" si="42"/>
        <v/>
      </c>
      <c r="BD27" s="49" t="str">
        <f t="shared" si="42"/>
        <v/>
      </c>
      <c r="BE27" s="49" t="str">
        <f t="shared" si="42"/>
        <v/>
      </c>
      <c r="BF27" s="49" t="str">
        <f t="shared" si="42"/>
        <v/>
      </c>
      <c r="BG27" s="49" t="str">
        <f t="shared" si="42"/>
        <v/>
      </c>
      <c r="BH27" s="49" t="str">
        <f t="shared" si="42"/>
        <v/>
      </c>
      <c r="BI27" s="49" t="str">
        <f t="shared" si="42"/>
        <v/>
      </c>
      <c r="BJ27" s="49" t="str">
        <f>IF(AND($F27&gt;=BJ$5,$F27&lt;=BJ$5+6),"*","")</f>
        <v>*</v>
      </c>
      <c r="BK27" s="49" t="str">
        <f t="shared" ref="BK27:BM27" si="43">IF(AND($F27&gt;=BK$5,$F27&lt;=BK$5+6),"◆","")</f>
        <v/>
      </c>
      <c r="BL27" s="49" t="str">
        <f t="shared" si="43"/>
        <v/>
      </c>
      <c r="BM27" s="49" t="str">
        <f t="shared" si="43"/>
        <v/>
      </c>
    </row>
    <row r="28" ht="27.0" customHeight="1" outlineLevel="1">
      <c r="A28" s="74" t="s">
        <v>238</v>
      </c>
      <c r="B28" s="74" t="s">
        <v>239</v>
      </c>
      <c r="C28" s="75" t="s">
        <v>240</v>
      </c>
      <c r="D28" s="76" t="s">
        <v>241</v>
      </c>
      <c r="E28" s="77">
        <v>0.0</v>
      </c>
      <c r="F28" s="78">
        <f>MAX($G$339)</f>
        <v>46612</v>
      </c>
      <c r="G28" s="78">
        <f t="shared" si="27"/>
        <v>46612</v>
      </c>
      <c r="H28" s="79" t="s">
        <v>242</v>
      </c>
      <c r="I28" s="75" t="s">
        <v>147</v>
      </c>
      <c r="J28" s="74" t="str">
        <f t="array" ref="J28">IF(K28&gt;=1,"Cumplido",IF(FECHA_ESTADO&gt;DATE(2027,8,13),"Atrasado",IF(INDEX(NLAB,MATCH(DATE(2027,8,13),FECHAS,0))-INDEX(NLAB,MATCH(F28,FECHAS,0))&lt;0,"En riesgo","Pendiente")))</f>
        <v>Pendiente</v>
      </c>
      <c r="K28" s="80">
        <f>IF(MIN($K$339)&gt;=1,1,0)</f>
        <v>0</v>
      </c>
      <c r="L28" s="74">
        <f t="array" ref="L28">INDEX(NLAB,MATCH(DATE(2027,8,13),FECHAS,0))-INDEX(NLAB,MATCH(F28,FECHAS,0))</f>
        <v>0</v>
      </c>
      <c r="M28" s="77" t="s">
        <v>148</v>
      </c>
      <c r="N28" s="74" t="s">
        <v>149</v>
      </c>
      <c r="P28" s="49" t="str">
        <f t="shared" ref="P28:AB28" si="44">IF(AND($F28&gt;=P$5,$F28&lt;=P$5+6),"◆","")</f>
        <v/>
      </c>
      <c r="Q28" s="49" t="str">
        <f t="shared" si="44"/>
        <v/>
      </c>
      <c r="R28" s="49" t="str">
        <f t="shared" si="44"/>
        <v/>
      </c>
      <c r="S28" s="49" t="str">
        <f t="shared" si="44"/>
        <v/>
      </c>
      <c r="T28" s="49" t="str">
        <f t="shared" si="44"/>
        <v/>
      </c>
      <c r="U28" s="49" t="str">
        <f t="shared" si="44"/>
        <v/>
      </c>
      <c r="V28" s="49" t="str">
        <f t="shared" si="44"/>
        <v/>
      </c>
      <c r="W28" s="49" t="str">
        <f t="shared" si="44"/>
        <v/>
      </c>
      <c r="X28" s="49" t="str">
        <f t="shared" si="44"/>
        <v/>
      </c>
      <c r="Y28" s="49" t="str">
        <f t="shared" si="44"/>
        <v/>
      </c>
      <c r="Z28" s="49" t="str">
        <f t="shared" si="44"/>
        <v/>
      </c>
      <c r="AA28" s="49" t="str">
        <f t="shared" si="44"/>
        <v/>
      </c>
      <c r="AB28" s="49" t="str">
        <f t="shared" si="44"/>
        <v/>
      </c>
      <c r="AC28" s="49" t="str">
        <f t="shared" ref="AC28:BK28" si="45">IF(AND($F28&gt;=AC$5,$F28&lt;=AC$5+6),"*","")</f>
        <v/>
      </c>
      <c r="AD28" s="49" t="str">
        <f t="shared" si="45"/>
        <v/>
      </c>
      <c r="AE28" s="49" t="str">
        <f t="shared" si="45"/>
        <v/>
      </c>
      <c r="AF28" s="49" t="str">
        <f t="shared" si="45"/>
        <v/>
      </c>
      <c r="AG28" s="49" t="str">
        <f t="shared" si="45"/>
        <v/>
      </c>
      <c r="AH28" s="49" t="str">
        <f t="shared" si="45"/>
        <v/>
      </c>
      <c r="AI28" s="49" t="str">
        <f t="shared" si="45"/>
        <v/>
      </c>
      <c r="AJ28" s="49" t="str">
        <f t="shared" si="45"/>
        <v/>
      </c>
      <c r="AK28" s="49" t="str">
        <f t="shared" si="45"/>
        <v/>
      </c>
      <c r="AL28" s="49" t="str">
        <f t="shared" si="45"/>
        <v/>
      </c>
      <c r="AM28" s="49" t="str">
        <f t="shared" si="45"/>
        <v/>
      </c>
      <c r="AN28" s="49" t="str">
        <f t="shared" si="45"/>
        <v/>
      </c>
      <c r="AO28" s="49" t="str">
        <f t="shared" si="45"/>
        <v/>
      </c>
      <c r="AP28" s="49" t="str">
        <f t="shared" si="45"/>
        <v/>
      </c>
      <c r="AQ28" s="49" t="str">
        <f t="shared" si="45"/>
        <v/>
      </c>
      <c r="AR28" s="49" t="str">
        <f t="shared" si="45"/>
        <v/>
      </c>
      <c r="AS28" s="49" t="str">
        <f t="shared" si="45"/>
        <v/>
      </c>
      <c r="AT28" s="49" t="str">
        <f t="shared" si="45"/>
        <v/>
      </c>
      <c r="AU28" s="49" t="str">
        <f t="shared" si="45"/>
        <v/>
      </c>
      <c r="AV28" s="49" t="str">
        <f t="shared" si="45"/>
        <v/>
      </c>
      <c r="AW28" s="49" t="str">
        <f t="shared" si="45"/>
        <v/>
      </c>
      <c r="AX28" s="49" t="str">
        <f t="shared" si="45"/>
        <v/>
      </c>
      <c r="AY28" s="49" t="str">
        <f t="shared" si="45"/>
        <v/>
      </c>
      <c r="AZ28" s="49" t="str">
        <f t="shared" si="45"/>
        <v/>
      </c>
      <c r="BA28" s="49" t="str">
        <f t="shared" si="45"/>
        <v/>
      </c>
      <c r="BB28" s="49" t="str">
        <f t="shared" si="45"/>
        <v/>
      </c>
      <c r="BC28" s="49" t="str">
        <f t="shared" si="45"/>
        <v/>
      </c>
      <c r="BD28" s="49" t="str">
        <f t="shared" si="45"/>
        <v/>
      </c>
      <c r="BE28" s="49" t="str">
        <f t="shared" si="45"/>
        <v/>
      </c>
      <c r="BF28" s="49" t="str">
        <f t="shared" si="45"/>
        <v/>
      </c>
      <c r="BG28" s="49" t="str">
        <f t="shared" si="45"/>
        <v/>
      </c>
      <c r="BH28" s="49" t="str">
        <f t="shared" si="45"/>
        <v/>
      </c>
      <c r="BI28" s="49" t="str">
        <f t="shared" si="45"/>
        <v/>
      </c>
      <c r="BJ28" s="49" t="str">
        <f t="shared" si="45"/>
        <v/>
      </c>
      <c r="BK28" s="49" t="str">
        <f t="shared" si="45"/>
        <v>*</v>
      </c>
      <c r="BL28" s="49" t="str">
        <f t="shared" ref="BL28:BM28" si="46">IF(AND($F28&gt;=BL$5,$F28&lt;=BL$5+6),"◆","")</f>
        <v/>
      </c>
      <c r="BM28" s="49" t="str">
        <f t="shared" si="46"/>
        <v/>
      </c>
    </row>
    <row r="29" ht="15.75" customHeight="1" outlineLevel="1">
      <c r="A29" s="74" t="s">
        <v>238</v>
      </c>
      <c r="B29" s="74" t="s">
        <v>243</v>
      </c>
      <c r="C29" s="75" t="s">
        <v>244</v>
      </c>
      <c r="D29" s="76" t="s">
        <v>245</v>
      </c>
      <c r="E29" s="77">
        <v>0.0</v>
      </c>
      <c r="F29" s="78">
        <f>MAX($G$350)</f>
        <v>46619</v>
      </c>
      <c r="G29" s="78">
        <f t="shared" si="27"/>
        <v>46619</v>
      </c>
      <c r="H29" s="79" t="s">
        <v>246</v>
      </c>
      <c r="I29" s="75" t="s">
        <v>147</v>
      </c>
      <c r="J29" s="74" t="str">
        <f t="array" ref="J29">IF(K29&gt;=1,"Cumplido",IF(FECHA_ESTADO&gt;DATE(2027,8,20),"Atrasado",IF(INDEX(NLAB,MATCH(DATE(2027,8,20),FECHAS,0))-INDEX(NLAB,MATCH(F29,FECHAS,0))&lt;0,"En riesgo","Pendiente")))</f>
        <v>Pendiente</v>
      </c>
      <c r="K29" s="80">
        <f>IF(MIN($K$350)&gt;=1,1,0)</f>
        <v>0</v>
      </c>
      <c r="L29" s="74">
        <f t="array" ref="L29">INDEX(NLAB,MATCH(DATE(2027,8,20),FECHAS,0))-INDEX(NLAB,MATCH(F29,FECHAS,0))</f>
        <v>0</v>
      </c>
      <c r="M29" s="77" t="s">
        <v>148</v>
      </c>
      <c r="N29" s="74" t="s">
        <v>149</v>
      </c>
      <c r="P29" s="49" t="str">
        <f t="shared" ref="P29:BK29" si="47">IF(AND($F29&gt;=P$5,$F29&lt;=P$5+6),"◆","")</f>
        <v/>
      </c>
      <c r="Q29" s="49" t="str">
        <f t="shared" si="47"/>
        <v/>
      </c>
      <c r="R29" s="49" t="str">
        <f t="shared" si="47"/>
        <v/>
      </c>
      <c r="S29" s="49" t="str">
        <f t="shared" si="47"/>
        <v/>
      </c>
      <c r="T29" s="49" t="str">
        <f t="shared" si="47"/>
        <v/>
      </c>
      <c r="U29" s="49" t="str">
        <f t="shared" si="47"/>
        <v/>
      </c>
      <c r="V29" s="49" t="str">
        <f t="shared" si="47"/>
        <v/>
      </c>
      <c r="W29" s="49" t="str">
        <f t="shared" si="47"/>
        <v/>
      </c>
      <c r="X29" s="49" t="str">
        <f t="shared" si="47"/>
        <v/>
      </c>
      <c r="Y29" s="49" t="str">
        <f t="shared" si="47"/>
        <v/>
      </c>
      <c r="Z29" s="49" t="str">
        <f t="shared" si="47"/>
        <v/>
      </c>
      <c r="AA29" s="49" t="str">
        <f t="shared" si="47"/>
        <v/>
      </c>
      <c r="AB29" s="49" t="str">
        <f t="shared" si="47"/>
        <v/>
      </c>
      <c r="AC29" s="49" t="str">
        <f t="shared" si="47"/>
        <v/>
      </c>
      <c r="AD29" s="49" t="str">
        <f t="shared" si="47"/>
        <v/>
      </c>
      <c r="AE29" s="49" t="str">
        <f t="shared" si="47"/>
        <v/>
      </c>
      <c r="AF29" s="49" t="str">
        <f t="shared" si="47"/>
        <v/>
      </c>
      <c r="AG29" s="49" t="str">
        <f t="shared" si="47"/>
        <v/>
      </c>
      <c r="AH29" s="49" t="str">
        <f t="shared" si="47"/>
        <v/>
      </c>
      <c r="AI29" s="49" t="str">
        <f t="shared" si="47"/>
        <v/>
      </c>
      <c r="AJ29" s="49" t="str">
        <f t="shared" si="47"/>
        <v/>
      </c>
      <c r="AK29" s="49" t="str">
        <f t="shared" si="47"/>
        <v/>
      </c>
      <c r="AL29" s="49" t="str">
        <f t="shared" si="47"/>
        <v/>
      </c>
      <c r="AM29" s="49" t="str">
        <f t="shared" si="47"/>
        <v/>
      </c>
      <c r="AN29" s="49" t="str">
        <f t="shared" si="47"/>
        <v/>
      </c>
      <c r="AO29" s="49" t="str">
        <f t="shared" si="47"/>
        <v/>
      </c>
      <c r="AP29" s="49" t="str">
        <f t="shared" si="47"/>
        <v/>
      </c>
      <c r="AQ29" s="49" t="str">
        <f t="shared" si="47"/>
        <v/>
      </c>
      <c r="AR29" s="49" t="str">
        <f t="shared" si="47"/>
        <v/>
      </c>
      <c r="AS29" s="49" t="str">
        <f t="shared" si="47"/>
        <v/>
      </c>
      <c r="AT29" s="49" t="str">
        <f t="shared" si="47"/>
        <v/>
      </c>
      <c r="AU29" s="49" t="str">
        <f t="shared" si="47"/>
        <v/>
      </c>
      <c r="AV29" s="49" t="str">
        <f t="shared" si="47"/>
        <v/>
      </c>
      <c r="AW29" s="49" t="str">
        <f t="shared" si="47"/>
        <v/>
      </c>
      <c r="AX29" s="49" t="str">
        <f t="shared" si="47"/>
        <v/>
      </c>
      <c r="AY29" s="49" t="str">
        <f t="shared" si="47"/>
        <v/>
      </c>
      <c r="AZ29" s="49" t="str">
        <f t="shared" si="47"/>
        <v/>
      </c>
      <c r="BA29" s="49" t="str">
        <f t="shared" si="47"/>
        <v/>
      </c>
      <c r="BB29" s="49" t="str">
        <f t="shared" si="47"/>
        <v/>
      </c>
      <c r="BC29" s="49" t="str">
        <f t="shared" si="47"/>
        <v/>
      </c>
      <c r="BD29" s="49" t="str">
        <f t="shared" si="47"/>
        <v/>
      </c>
      <c r="BE29" s="49" t="str">
        <f t="shared" si="47"/>
        <v/>
      </c>
      <c r="BF29" s="49" t="str">
        <f t="shared" si="47"/>
        <v/>
      </c>
      <c r="BG29" s="49" t="str">
        <f t="shared" si="47"/>
        <v/>
      </c>
      <c r="BH29" s="49" t="str">
        <f t="shared" si="47"/>
        <v/>
      </c>
      <c r="BI29" s="49" t="str">
        <f t="shared" si="47"/>
        <v/>
      </c>
      <c r="BJ29" s="49" t="str">
        <f t="shared" si="47"/>
        <v/>
      </c>
      <c r="BK29" s="49" t="str">
        <f t="shared" si="47"/>
        <v/>
      </c>
      <c r="BL29" s="49" t="str">
        <f>IF(AND($F29&gt;=BL$5,$F29&lt;=BL$5+6),"*","")</f>
        <v>*</v>
      </c>
      <c r="BM29" s="49" t="str">
        <f>IF(AND($F29&gt;=BM$5,$F29&lt;=BM$5+6),"◆","")</f>
        <v/>
      </c>
    </row>
    <row r="30" ht="15.75" customHeight="1">
      <c r="A30" s="81" t="s">
        <v>141</v>
      </c>
      <c r="B30" s="81" t="s">
        <v>247</v>
      </c>
      <c r="C30" s="82" t="s">
        <v>248</v>
      </c>
      <c r="D30" s="82"/>
      <c r="E30" s="81">
        <f t="array" ref="E30">INDEX(NLAB,MATCH(G30,FECHAS,0))-INDEX(NLAB,MATCH(F30,FECHAS,0))+1</f>
        <v>29</v>
      </c>
      <c r="F30" s="83">
        <f>MIN(F31:F42)</f>
        <v>46279</v>
      </c>
      <c r="G30" s="83">
        <f>MAX(G31:G42)</f>
        <v>46312</v>
      </c>
      <c r="H30" s="84"/>
      <c r="I30" s="82"/>
      <c r="J30" s="81" t="str">
        <f>IF(K30&gt;=1,"Completado",IF(AND(G30&lt;FECHA_ESTADO,K30&lt;1),"Atrasado",IF(K30&gt;0,"En progreso","No iniciado")))</f>
        <v>En progreso</v>
      </c>
      <c r="K30" s="85">
        <f>IFERROR(SUMPRODUCT(--(C31:C42=""),E31:E42,K31:K42)/SUMPRODUCT(--(C31:C42=""),E31:E42),0)</f>
        <v>0.3947368421</v>
      </c>
      <c r="L30" s="81"/>
      <c r="M30" s="81"/>
      <c r="N30" s="81"/>
      <c r="P30" s="41"/>
      <c r="Q30" s="41"/>
      <c r="R30" s="41"/>
      <c r="S30" s="41"/>
      <c r="T30" s="41"/>
    </row>
    <row r="31" ht="15.75" hidden="1" customHeight="1" outlineLevel="1">
      <c r="A31" s="86" t="s">
        <v>141</v>
      </c>
      <c r="B31" s="86" t="s">
        <v>249</v>
      </c>
      <c r="C31" s="87" t="s">
        <v>250</v>
      </c>
      <c r="D31" s="87"/>
      <c r="E31" s="86">
        <f t="array" ref="E31">INDEX(NLAB,MATCH(G31,FECHAS,0))-INDEX(NLAB,MATCH(F31,FECHAS,0))+1</f>
        <v>1</v>
      </c>
      <c r="F31" s="88">
        <f>MIN(F32)</f>
        <v>46279</v>
      </c>
      <c r="G31" s="88">
        <f>MAX(G32)</f>
        <v>46279</v>
      </c>
      <c r="H31" s="89"/>
      <c r="I31" s="87"/>
      <c r="J31" s="86" t="str">
        <f>IF(K31&gt;=1,"Completado",IF(AND(G31&lt;FECHA_ESTADO,K31&lt;1),"Atrasado",IF(K31&gt;0,"En progreso","No iniciado")))</f>
        <v>Completado</v>
      </c>
      <c r="K31" s="90">
        <f>IFERROR(SUMPRODUCT(--(C32=""),E32,K32)/SUMPRODUCT(--(C32=""),E32),0)</f>
        <v>1</v>
      </c>
      <c r="L31" s="86"/>
      <c r="M31" s="86"/>
      <c r="N31" s="86"/>
      <c r="P31" s="41"/>
    </row>
    <row r="32" ht="27.0" hidden="1" customHeight="1" outlineLevel="2">
      <c r="A32" s="91" t="s">
        <v>141</v>
      </c>
      <c r="B32" s="91" t="s">
        <v>145</v>
      </c>
      <c r="C32" s="11"/>
      <c r="D32" s="11" t="s">
        <v>251</v>
      </c>
      <c r="E32" s="92">
        <v>1.0</v>
      </c>
      <c r="F32" s="93">
        <v>46279.0</v>
      </c>
      <c r="G32" s="94">
        <f t="array" ref="G32">IF(E32=0,F32,INDEX(FECHAS,MATCH(INDEX(NLAB,MATCH(F32,FECHAS,0))+E32-1,NLAB,0)))</f>
        <v>46279</v>
      </c>
      <c r="H32" s="22" t="s">
        <v>252</v>
      </c>
      <c r="I32" s="11" t="s">
        <v>253</v>
      </c>
      <c r="J32" s="91" t="str">
        <f>IF(K32&gt;=1,"Completado",IF(G32&lt;FECHA_ESTADO,"Atrasado",IF(K32&gt;0,"En progreso","No iniciado")))</f>
        <v>Completado</v>
      </c>
      <c r="K32" s="95">
        <v>1.0</v>
      </c>
      <c r="L32" s="91">
        <f t="array" ref="L32">MIN(INDEX(NLAB,MATCH($F$34,FECHAS,0))-1,INDEX(NLAB,MATCH($F$41,FECHAS,0))-1,INDEX(NLAB,MATCH($F$59,FECHAS,0))-1,INDEX(NLAB,MATCH(DATE(2026,9,14),FECHAS,0)))-INDEX(NLAB,MATCH(G32,FECHAS,0))</f>
        <v>0</v>
      </c>
      <c r="M32" s="91">
        <v>0.0</v>
      </c>
      <c r="N32" s="91" t="str">
        <f>IF(M32&lt;=0,"Sí","No")</f>
        <v>Sí</v>
      </c>
      <c r="P32" s="41"/>
    </row>
    <row r="33" ht="15.75" hidden="1" customHeight="1" outlineLevel="1" collapsed="1">
      <c r="A33" s="86" t="s">
        <v>141</v>
      </c>
      <c r="B33" s="86" t="s">
        <v>254</v>
      </c>
      <c r="C33" s="87" t="s">
        <v>255</v>
      </c>
      <c r="D33" s="87"/>
      <c r="E33" s="86">
        <f t="array" ref="E33">INDEX(NLAB,MATCH(G33,FECHAS,0))-INDEX(NLAB,MATCH(F33,FECHAS,0))+1</f>
        <v>4</v>
      </c>
      <c r="F33" s="88">
        <f>MIN(F34:F35)</f>
        <v>46280</v>
      </c>
      <c r="G33" s="88">
        <f>MAX(G34:G35)</f>
        <v>46283</v>
      </c>
      <c r="H33" s="89"/>
      <c r="I33" s="87"/>
      <c r="J33" s="86" t="str">
        <f>IF(K33&gt;=1,"Completado",IF(AND(G33&lt;FECHA_ESTADO,K33&lt;1),"Atrasado",IF(K33&gt;0,"En progreso","No iniciado")))</f>
        <v>Completado</v>
      </c>
      <c r="K33" s="90">
        <f>IFERROR(SUMPRODUCT(--(C34:C35=""),E34:E35,K34:K35)/SUMPRODUCT(--(C34:C35=""),E34:E35),0)</f>
        <v>1</v>
      </c>
      <c r="L33" s="86"/>
      <c r="M33" s="86"/>
      <c r="N33" s="86"/>
      <c r="P33" s="41"/>
    </row>
    <row r="34" ht="15.75" hidden="1" customHeight="1" outlineLevel="2">
      <c r="A34" s="91" t="s">
        <v>141</v>
      </c>
      <c r="B34" s="91" t="s">
        <v>256</v>
      </c>
      <c r="C34" s="11"/>
      <c r="D34" s="11" t="s">
        <v>257</v>
      </c>
      <c r="E34" s="92">
        <v>3.0</v>
      </c>
      <c r="F34" s="94">
        <f t="array" ref="F34">INDEX(FECHAS,MATCH(INDEX(NLAB,MATCH($G$32,FECHAS,0))+1,NLAB,0))</f>
        <v>46280</v>
      </c>
      <c r="G34" s="94">
        <f t="array" ref="G34">IF(E34=0,F34,INDEX(FECHAS,MATCH(INDEX(NLAB,MATCH(F34,FECHAS,0))+E34-1,NLAB,0)))</f>
        <v>46282</v>
      </c>
      <c r="H34" s="22" t="s">
        <v>145</v>
      </c>
      <c r="I34" s="11" t="s">
        <v>258</v>
      </c>
      <c r="J34" s="91" t="str">
        <f>IF(K34&gt;=1,"Completado",IF(G34&lt;FECHA_ESTADO,"Atrasado",IF(K34&gt;0,"En progreso","No iniciado")))</f>
        <v>Completado</v>
      </c>
      <c r="K34" s="95">
        <v>1.0</v>
      </c>
      <c r="L34" s="91">
        <f t="array" ref="L34">INDEX(NLAB,MATCH($F$35,FECHAS,0))-1-INDEX(NLAB,MATCH(G34,FECHAS,0))</f>
        <v>0</v>
      </c>
      <c r="M34" s="91">
        <v>1.0</v>
      </c>
      <c r="N34" s="91" t="str">
        <f t="shared" ref="N34:N35" si="48">IF(M34&lt;=0,"Sí","No")</f>
        <v>No</v>
      </c>
      <c r="P34" s="41"/>
    </row>
    <row r="35" ht="15.75" hidden="1" customHeight="1" outlineLevel="2">
      <c r="A35" s="91" t="s">
        <v>141</v>
      </c>
      <c r="B35" s="91" t="s">
        <v>259</v>
      </c>
      <c r="C35" s="11"/>
      <c r="D35" s="11" t="s">
        <v>260</v>
      </c>
      <c r="E35" s="92">
        <v>1.0</v>
      </c>
      <c r="F35" s="94">
        <f t="array" ref="F35">INDEX(FECHAS,MATCH(INDEX(NLAB,MATCH($G$34,FECHAS,0))+1,NLAB,0))</f>
        <v>46283</v>
      </c>
      <c r="G35" s="94">
        <f t="array" ref="G35">IF(E35=0,F35,INDEX(FECHAS,MATCH(INDEX(NLAB,MATCH(F35,FECHAS,0))+E35-1,NLAB,0)))</f>
        <v>46283</v>
      </c>
      <c r="H35" s="22" t="s">
        <v>256</v>
      </c>
      <c r="I35" s="11" t="s">
        <v>261</v>
      </c>
      <c r="J35" s="91" t="str">
        <f>IF(K35&gt;=1,"Completado",IF(G35&lt;FECHA_ESTADO,"Atrasado",IF(K35&gt;0,"En progreso","No iniciado")))</f>
        <v>Completado</v>
      </c>
      <c r="K35" s="95">
        <v>1.0</v>
      </c>
      <c r="L35" s="91">
        <f t="array" ref="L35">INDEX(NLAB,MATCH($F$42,FECHAS,0))-1-INDEX(NLAB,MATCH(G35,FECHAS,0))</f>
        <v>1</v>
      </c>
      <c r="M35" s="91">
        <v>1.0</v>
      </c>
      <c r="N35" s="91" t="str">
        <f t="shared" si="48"/>
        <v>No</v>
      </c>
      <c r="P35" s="41"/>
    </row>
    <row r="36" ht="15.75" hidden="1" customHeight="1" outlineLevel="1" collapsed="1">
      <c r="A36" s="86" t="s">
        <v>141</v>
      </c>
      <c r="B36" s="86" t="s">
        <v>262</v>
      </c>
      <c r="C36" s="87" t="s">
        <v>263</v>
      </c>
      <c r="D36" s="87"/>
      <c r="E36" s="86">
        <f t="array" ref="E36">INDEX(NLAB,MATCH(G36,FECHAS,0))-INDEX(NLAB,MATCH(F36,FECHAS,0))+1</f>
        <v>22</v>
      </c>
      <c r="F36" s="88">
        <f>MIN(F37:F39)</f>
        <v>46287</v>
      </c>
      <c r="G36" s="88">
        <f>MAX(G37:G39)</f>
        <v>46312</v>
      </c>
      <c r="H36" s="89"/>
      <c r="I36" s="87"/>
      <c r="J36" s="86" t="str">
        <f>IF(K36&gt;=1,"Completado",IF(AND(G36&lt;FECHA_ESTADO,K36&lt;1),"Atrasado",IF(K36&gt;0,"En progreso","No iniciado")))</f>
        <v>En progreso</v>
      </c>
      <c r="K36" s="90">
        <f>IFERROR(SUMPRODUCT(--(C37:C39=""),E37:E39,K37:K39)/SUMPRODUCT(--(C37:C39=""),E37:E39),0)</f>
        <v>0.1785714286</v>
      </c>
      <c r="L36" s="86"/>
      <c r="M36" s="86"/>
      <c r="N36" s="86"/>
      <c r="Q36" s="41"/>
      <c r="R36" s="41"/>
      <c r="S36" s="41"/>
      <c r="T36" s="41"/>
    </row>
    <row r="37" ht="27.0" hidden="1" customHeight="1" outlineLevel="2">
      <c r="A37" s="91" t="s">
        <v>141</v>
      </c>
      <c r="B37" s="91" t="s">
        <v>264</v>
      </c>
      <c r="C37" s="11"/>
      <c r="D37" s="11" t="s">
        <v>265</v>
      </c>
      <c r="E37" s="92">
        <v>10.0</v>
      </c>
      <c r="F37" s="94">
        <f t="array" ref="F37">INDEX(FECHAS,MATCH(INDEX(NLAB,MATCH($G$42,FECHAS,0))+1,NLAB,0))</f>
        <v>46287</v>
      </c>
      <c r="G37" s="94">
        <f t="array" ref="G37">IF(E37=0,F37,INDEX(FECHAS,MATCH(INDEX(NLAB,MATCH(F37,FECHAS,0))+E37-1,NLAB,0)))</f>
        <v>46297</v>
      </c>
      <c r="H37" s="22" t="s">
        <v>157</v>
      </c>
      <c r="I37" s="11" t="s">
        <v>266</v>
      </c>
      <c r="J37" s="91" t="str">
        <f>IF(K37&gt;=1,"Completado",IF(G37&lt;FECHA_ESTADO,"Atrasado",IF(K37&gt;0,"En progreso","No iniciado")))</f>
        <v>En progreso</v>
      </c>
      <c r="K37" s="95">
        <v>0.5</v>
      </c>
      <c r="L37" s="91">
        <f t="array" ref="L37">MIN(INDEX(NLAB,MATCH($F$38,FECHAS,0))-1,INDEX(NLAB,MATCH($F$39,FECHAS,0))-1,INDEX(NLAB,MATCH($F$77,FECHAS,0))-1)-INDEX(NLAB,MATCH(G37,FECHAS,0))</f>
        <v>0</v>
      </c>
      <c r="M37" s="91">
        <v>28.0</v>
      </c>
      <c r="N37" s="91" t="str">
        <f t="shared" ref="N37:N39" si="49">IF(M37&lt;=0,"Sí","No")</f>
        <v>No</v>
      </c>
      <c r="Q37" s="41"/>
      <c r="R37" s="41"/>
    </row>
    <row r="38" ht="27.0" hidden="1" customHeight="1" outlineLevel="2">
      <c r="A38" s="91" t="s">
        <v>141</v>
      </c>
      <c r="B38" s="91" t="s">
        <v>267</v>
      </c>
      <c r="C38" s="11"/>
      <c r="D38" s="11" t="s">
        <v>268</v>
      </c>
      <c r="E38" s="92">
        <v>12.0</v>
      </c>
      <c r="F38" s="94">
        <f t="array" ref="F38">INDEX(FECHAS,MATCH(INDEX(NLAB,MATCH($G$37,FECHAS,0))+1,NLAB,0))</f>
        <v>46298</v>
      </c>
      <c r="G38" s="94">
        <f t="array" ref="G38">IF(E38=0,F38,INDEX(FECHAS,MATCH(INDEX(NLAB,MATCH(F38,FECHAS,0))+E38-1,NLAB,0)))</f>
        <v>46312</v>
      </c>
      <c r="H38" s="22" t="s">
        <v>264</v>
      </c>
      <c r="I38" s="11" t="s">
        <v>269</v>
      </c>
      <c r="J38" s="91" t="str">
        <f>IF(K38&gt;=1,"Completado",IF(G38&lt;FECHA_ESTADO,"Atrasado",IF(K38&gt;0,"En progreso","No iniciado")))</f>
        <v>No iniciado</v>
      </c>
      <c r="K38" s="95">
        <v>0.0</v>
      </c>
      <c r="L38" s="91">
        <f t="array" ref="L38">INDEX(NLAB,MATCH($F$79,FECHAS,0))-1-INDEX(NLAB,MATCH(G38,FECHAS,0))</f>
        <v>17</v>
      </c>
      <c r="M38" s="91">
        <v>52.0</v>
      </c>
      <c r="N38" s="91" t="str">
        <f t="shared" si="49"/>
        <v>No</v>
      </c>
      <c r="R38" s="41"/>
      <c r="S38" s="41"/>
      <c r="T38" s="41"/>
    </row>
    <row r="39" ht="27.0" hidden="1" customHeight="1" outlineLevel="2">
      <c r="A39" s="91" t="s">
        <v>141</v>
      </c>
      <c r="B39" s="91" t="s">
        <v>270</v>
      </c>
      <c r="C39" s="11"/>
      <c r="D39" s="11" t="s">
        <v>271</v>
      </c>
      <c r="E39" s="92">
        <v>6.0</v>
      </c>
      <c r="F39" s="94">
        <f t="array" ref="F39">INDEX(FECHAS,MATCH(INDEX(NLAB,MATCH($G$37,FECHAS,0))+1,NLAB,0))</f>
        <v>46298</v>
      </c>
      <c r="G39" s="94">
        <f t="array" ref="G39">IF(E39=0,F39,INDEX(FECHAS,MATCH(INDEX(NLAB,MATCH(F39,FECHAS,0))+E39-1,NLAB,0)))</f>
        <v>46305</v>
      </c>
      <c r="H39" s="22" t="s">
        <v>264</v>
      </c>
      <c r="I39" s="11" t="s">
        <v>266</v>
      </c>
      <c r="J39" s="91" t="str">
        <f>IF(K39&gt;=1,"Completado",IF(G39&lt;FECHA_ESTADO,"Atrasado",IF(K39&gt;0,"En progreso","No iniciado")))</f>
        <v>No iniciado</v>
      </c>
      <c r="K39" s="95">
        <v>0.0</v>
      </c>
      <c r="L39" s="91">
        <f t="array" ref="L39">INDEX(NLAB,MATCH($F$181,FECHAS,0))-1-INDEX(NLAB,MATCH(G39,FECHAS,0))</f>
        <v>80</v>
      </c>
      <c r="M39" s="91">
        <v>89.0</v>
      </c>
      <c r="N39" s="91" t="str">
        <f t="shared" si="49"/>
        <v>No</v>
      </c>
      <c r="R39" s="41"/>
      <c r="S39" s="41"/>
    </row>
    <row r="40" ht="15.75" hidden="1" customHeight="1" outlineLevel="1" collapsed="1">
      <c r="A40" s="86" t="s">
        <v>141</v>
      </c>
      <c r="B40" s="86" t="s">
        <v>272</v>
      </c>
      <c r="C40" s="87" t="s">
        <v>273</v>
      </c>
      <c r="D40" s="87"/>
      <c r="E40" s="86">
        <f t="array" ref="E40">INDEX(NLAB,MATCH(G40,FECHAS,0))-INDEX(NLAB,MATCH(F40,FECHAS,0))+1</f>
        <v>6</v>
      </c>
      <c r="F40" s="88">
        <f>MIN(F41:F42)</f>
        <v>46280</v>
      </c>
      <c r="G40" s="88">
        <f>MAX(G41:G42)</f>
        <v>46286</v>
      </c>
      <c r="H40" s="89"/>
      <c r="I40" s="87"/>
      <c r="J40" s="86" t="str">
        <f>IF(K40&gt;=1,"Completado",IF(AND(G40&lt;FECHA_ESTADO,K40&lt;1),"Atrasado",IF(K40&gt;0,"En progreso","No iniciado")))</f>
        <v>Completado</v>
      </c>
      <c r="K40" s="90">
        <f>IFERROR(SUMPRODUCT(--(C41:C42=""),E41:E42,K41:K42)/SUMPRODUCT(--(C41:C42=""),E41:E42),0)</f>
        <v>1</v>
      </c>
      <c r="L40" s="86"/>
      <c r="M40" s="86"/>
      <c r="N40" s="86"/>
      <c r="P40" s="41"/>
      <c r="Q40" s="41"/>
    </row>
    <row r="41" ht="27.0" customHeight="1" outlineLevel="2">
      <c r="A41" s="91" t="s">
        <v>141</v>
      </c>
      <c r="B41" s="91" t="s">
        <v>274</v>
      </c>
      <c r="C41" s="11"/>
      <c r="D41" s="11" t="s">
        <v>275</v>
      </c>
      <c r="E41" s="92">
        <v>4.0</v>
      </c>
      <c r="F41" s="94">
        <f t="array" ref="F41">INDEX(FECHAS,MATCH(INDEX(NLAB,MATCH($G$32,FECHAS,0))+1,NLAB,0))</f>
        <v>46280</v>
      </c>
      <c r="G41" s="94">
        <f t="array" ref="G41">IF(E41=0,F41,INDEX(FECHAS,MATCH(INDEX(NLAB,MATCH(F41,FECHAS,0))+E41-1,NLAB,0)))</f>
        <v>46283</v>
      </c>
      <c r="H41" s="22" t="s">
        <v>145</v>
      </c>
      <c r="I41" s="11" t="s">
        <v>258</v>
      </c>
      <c r="J41" s="91" t="str">
        <f>IF(K41&gt;=1,"Completado",IF(G41&lt;FECHA_ESTADO,"Atrasado",IF(K41&gt;0,"En progreso","No iniciado")))</f>
        <v>Completado</v>
      </c>
      <c r="K41" s="95">
        <v>1.0</v>
      </c>
      <c r="L41" s="91">
        <f t="array" ref="L41">INDEX(NLAB,MATCH($F$42,FECHAS,0))-1-INDEX(NLAB,MATCH(G41,FECHAS,0))</f>
        <v>1</v>
      </c>
      <c r="M41" s="91">
        <v>1.0</v>
      </c>
      <c r="N41" s="91" t="str">
        <f t="shared" ref="N41:N42" si="50">IF(M41&lt;=0,"Sí","No")</f>
        <v>No</v>
      </c>
      <c r="P41" s="41"/>
    </row>
    <row r="42" ht="27.0" customHeight="1" outlineLevel="2">
      <c r="A42" s="91" t="s">
        <v>141</v>
      </c>
      <c r="B42" s="91" t="s">
        <v>157</v>
      </c>
      <c r="C42" s="11"/>
      <c r="D42" s="11" t="s">
        <v>276</v>
      </c>
      <c r="E42" s="92">
        <v>1.0</v>
      </c>
      <c r="F42" s="93">
        <v>46286.0</v>
      </c>
      <c r="G42" s="94">
        <f t="array" ref="G42">IF(E42=0,F42,INDEX(FECHAS,MATCH(INDEX(NLAB,MATCH(F42,FECHAS,0))+E42-1,NLAB,0)))</f>
        <v>46286</v>
      </c>
      <c r="H42" s="22" t="s">
        <v>277</v>
      </c>
      <c r="I42" s="11" t="s">
        <v>278</v>
      </c>
      <c r="J42" s="91" t="str">
        <f>IF(K42&gt;=1,"Completado",IF(G42&lt;FECHA_ESTADO,"Atrasado",IF(K42&gt;0,"En progreso","No iniciado")))</f>
        <v>Completado</v>
      </c>
      <c r="K42" s="95">
        <v>1.0</v>
      </c>
      <c r="L42" s="91">
        <f t="array" ref="L42">MIN(INDEX(NLAB,MATCH($F$37,FECHAS,0))-1,INDEX(NLAB,MATCH($F$49,FECHAS,0))-1,INDEX(NLAB,MATCH(DATE(2026,9,21),FECHAS,0)))-INDEX(NLAB,MATCH(G42,FECHAS,0))</f>
        <v>0</v>
      </c>
      <c r="M42" s="91">
        <v>0.0</v>
      </c>
      <c r="N42" s="91" t="str">
        <f t="shared" si="50"/>
        <v>Sí</v>
      </c>
      <c r="Q42" s="41"/>
    </row>
    <row r="43" ht="15.75" customHeight="1">
      <c r="A43" s="96" t="s">
        <v>160</v>
      </c>
      <c r="B43" s="96" t="s">
        <v>279</v>
      </c>
      <c r="C43" s="97" t="s">
        <v>280</v>
      </c>
      <c r="D43" s="97"/>
      <c r="E43" s="96">
        <f t="array" ref="E43">INDEX(NLAB,MATCH(G43,FECHAS,0))-INDEX(NLAB,MATCH(F43,FECHAS,0))+1</f>
        <v>39</v>
      </c>
      <c r="F43" s="98">
        <f>MIN(F44:F72)</f>
        <v>46280</v>
      </c>
      <c r="G43" s="98">
        <f>MAX(G44:G72)</f>
        <v>46325</v>
      </c>
      <c r="H43" s="99"/>
      <c r="I43" s="97"/>
      <c r="J43" s="96" t="str">
        <f>IF(K43&gt;=1,"Completado",IF(AND(G43&lt;FECHA_ESTADO,K43&lt;1),"Atrasado",IF(K43&gt;0,"En progreso","No iniciado")))</f>
        <v>En progreso</v>
      </c>
      <c r="K43" s="100">
        <f>IFERROR(SUMPRODUCT(--(C44:C72=""),E44:E72,K44:K72)/SUMPRODUCT(--(C44:C72=""),E44:E72),0)</f>
        <v>0.1234567901</v>
      </c>
      <c r="L43" s="96"/>
      <c r="M43" s="96"/>
      <c r="N43" s="96"/>
      <c r="P43" s="41"/>
      <c r="Q43" s="41"/>
      <c r="R43" s="41"/>
      <c r="S43" s="41"/>
      <c r="T43" s="41"/>
      <c r="U43" s="41"/>
      <c r="V43" s="41"/>
    </row>
    <row r="44" ht="15.75" hidden="1" customHeight="1" outlineLevel="1">
      <c r="A44" s="101" t="s">
        <v>160</v>
      </c>
      <c r="B44" s="101" t="s">
        <v>281</v>
      </c>
      <c r="C44" s="102" t="s">
        <v>282</v>
      </c>
      <c r="D44" s="102"/>
      <c r="E44" s="101">
        <f t="array" ref="E44">INDEX(NLAB,MATCH(G44,FECHAS,0))-INDEX(NLAB,MATCH(F44,FECHAS,0))+1</f>
        <v>12</v>
      </c>
      <c r="F44" s="103">
        <f>MIN(F45:F47)</f>
        <v>46312</v>
      </c>
      <c r="G44" s="103">
        <f>MAX(G45:G47)</f>
        <v>46325</v>
      </c>
      <c r="H44" s="104"/>
      <c r="I44" s="102"/>
      <c r="J44" s="101" t="str">
        <f>IF(K44&gt;=1,"Completado",IF(AND(G44&lt;FECHA_ESTADO,K44&lt;1),"Atrasado",IF(K44&gt;0,"En progreso","No iniciado")))</f>
        <v>No iniciado</v>
      </c>
      <c r="K44" s="105">
        <f>IFERROR(SUMPRODUCT(--(C45:C47=""),E45:E47,K45:K47)/SUMPRODUCT(--(C45:C47=""),E45:E47),0)</f>
        <v>0</v>
      </c>
      <c r="L44" s="101"/>
      <c r="M44" s="101"/>
      <c r="N44" s="101"/>
      <c r="T44" s="41"/>
      <c r="U44" s="41"/>
      <c r="V44" s="41"/>
    </row>
    <row r="45" ht="27.0" hidden="1" customHeight="1" outlineLevel="2">
      <c r="A45" s="91" t="s">
        <v>160</v>
      </c>
      <c r="B45" s="91" t="s">
        <v>283</v>
      </c>
      <c r="C45" s="11"/>
      <c r="D45" s="11" t="s">
        <v>284</v>
      </c>
      <c r="E45" s="92">
        <v>5.0</v>
      </c>
      <c r="F45" s="94">
        <f t="array" ref="F45">INDEX(FECHAS,MATCH(INDEX(NLAB,MATCH(MAX($G$51,$G$54,$G$57,$G$60,$G$63,$G$66,$G$69,$G$72),FECHAS,0))+1,NLAB,0))</f>
        <v>46312</v>
      </c>
      <c r="G45" s="94">
        <f t="array" ref="G45">IF(E45=0,F45,INDEX(FECHAS,MATCH(INDEX(NLAB,MATCH(F45,FECHAS,0))+E45-1,NLAB,0)))</f>
        <v>46317</v>
      </c>
      <c r="H45" s="22" t="s">
        <v>285</v>
      </c>
      <c r="I45" s="11" t="s">
        <v>286</v>
      </c>
      <c r="J45" s="91" t="str">
        <f>IF(K45&gt;=1,"Completado",IF(G45&lt;FECHA_ESTADO,"Atrasado",IF(K45&gt;0,"En progreso","No iniciado")))</f>
        <v>No iniciado</v>
      </c>
      <c r="K45" s="95">
        <v>0.0</v>
      </c>
      <c r="L45" s="91">
        <f t="array" ref="L45">INDEX(NLAB,MATCH($F$46,FECHAS,0))-1-INDEX(NLAB,MATCH(G45,FECHAS,0))</f>
        <v>0</v>
      </c>
      <c r="M45" s="91">
        <v>3.0</v>
      </c>
      <c r="N45" s="91" t="str">
        <f t="shared" ref="N45:N47" si="51">IF(M45&lt;=0,"Sí","No")</f>
        <v>No</v>
      </c>
      <c r="T45" s="41"/>
      <c r="U45" s="41"/>
    </row>
    <row r="46" ht="27.0" hidden="1" customHeight="1" outlineLevel="2">
      <c r="A46" s="91" t="s">
        <v>160</v>
      </c>
      <c r="B46" s="91" t="s">
        <v>287</v>
      </c>
      <c r="C46" s="11"/>
      <c r="D46" s="11" t="s">
        <v>288</v>
      </c>
      <c r="E46" s="92">
        <v>3.0</v>
      </c>
      <c r="F46" s="94">
        <f t="array" ref="F46">INDEX(FECHAS,MATCH(INDEX(NLAB,MATCH($G$45,FECHAS,0))+1,NLAB,0))</f>
        <v>46318</v>
      </c>
      <c r="G46" s="94">
        <f t="array" ref="G46">IF(E46=0,F46,INDEX(FECHAS,MATCH(INDEX(NLAB,MATCH(F46,FECHAS,0))+E46-1,NLAB,0)))</f>
        <v>46321</v>
      </c>
      <c r="H46" s="22" t="s">
        <v>283</v>
      </c>
      <c r="I46" s="11" t="s">
        <v>289</v>
      </c>
      <c r="J46" s="91" t="str">
        <f>IF(K46&gt;=1,"Completado",IF(G46&lt;FECHA_ESTADO,"Atrasado",IF(K46&gt;0,"En progreso","No iniciado")))</f>
        <v>No iniciado</v>
      </c>
      <c r="K46" s="95">
        <v>0.0</v>
      </c>
      <c r="L46" s="91">
        <f t="array" ref="L46">INDEX(NLAB,MATCH($F$47,FECHAS,0))-1-INDEX(NLAB,MATCH(G46,FECHAS,0))</f>
        <v>3</v>
      </c>
      <c r="M46" s="91">
        <v>3.0</v>
      </c>
      <c r="N46" s="91" t="str">
        <f t="shared" si="51"/>
        <v>No</v>
      </c>
      <c r="U46" s="41"/>
      <c r="V46" s="41"/>
    </row>
    <row r="47" ht="27.0" hidden="1" customHeight="1" outlineLevel="2">
      <c r="A47" s="91" t="s">
        <v>160</v>
      </c>
      <c r="B47" s="91" t="s">
        <v>165</v>
      </c>
      <c r="C47" s="11"/>
      <c r="D47" s="11" t="s">
        <v>290</v>
      </c>
      <c r="E47" s="92">
        <v>1.0</v>
      </c>
      <c r="F47" s="93">
        <v>46325.0</v>
      </c>
      <c r="G47" s="94">
        <f t="array" ref="G47">IF(E47=0,F47,INDEX(FECHAS,MATCH(INDEX(NLAB,MATCH(F47,FECHAS,0))+E47-1,NLAB,0)))</f>
        <v>46325</v>
      </c>
      <c r="H47" s="22" t="s">
        <v>287</v>
      </c>
      <c r="I47" s="11" t="s">
        <v>261</v>
      </c>
      <c r="J47" s="91" t="str">
        <f>IF(K47&gt;=1,"Completado",IF(G47&lt;FECHA_ESTADO,"Atrasado",IF(K47&gt;0,"En progreso","No iniciado")))</f>
        <v>No iniciado</v>
      </c>
      <c r="K47" s="95">
        <v>0.0</v>
      </c>
      <c r="L47" s="91">
        <f t="array" ref="L47">MIN(INDEX(NLAB,MATCH($F$76,FECHAS,0))-1,INDEX(NLAB,MATCH($F$114,FECHAS,0))-1,INDEX(NLAB,MATCH($F$144,FECHAS,0))-1,INDEX(NLAB,MATCH($F$174,FECHAS,0))-1,INDEX(NLAB,MATCH($F$313,FECHAS,0))-1,INDEX(NLAB,MATCH(DATE(2026,10,30),FECHAS,0)))-INDEX(NLAB,MATCH(G47,FECHAS,0))</f>
        <v>0</v>
      </c>
      <c r="M47" s="91">
        <v>0.0</v>
      </c>
      <c r="N47" s="91" t="str">
        <f t="shared" si="51"/>
        <v>Sí</v>
      </c>
      <c r="V47" s="41"/>
    </row>
    <row r="48" ht="15.75" hidden="1" customHeight="1" outlineLevel="1" collapsed="1">
      <c r="A48" s="101" t="s">
        <v>160</v>
      </c>
      <c r="B48" s="101" t="s">
        <v>291</v>
      </c>
      <c r="C48" s="102" t="s">
        <v>292</v>
      </c>
      <c r="D48" s="102"/>
      <c r="E48" s="101">
        <f t="array" ref="E48">INDEX(NLAB,MATCH(G48,FECHAS,0))-INDEX(NLAB,MATCH(F48,FECHAS,0))+1</f>
        <v>12</v>
      </c>
      <c r="F48" s="103">
        <f>MIN(F49:F51)</f>
        <v>46287</v>
      </c>
      <c r="G48" s="103">
        <f>MAX(G49:G51)</f>
        <v>46300</v>
      </c>
      <c r="H48" s="104"/>
      <c r="I48" s="102"/>
      <c r="J48" s="101" t="str">
        <f>IF(K48&gt;=1,"Completado",IF(AND(G48&lt;FECHA_ESTADO,K48&lt;1),"Atrasado",IF(K48&gt;0,"En progreso","No iniciado")))</f>
        <v>En progreso</v>
      </c>
      <c r="K48" s="105">
        <f>IFERROR(SUMPRODUCT(--(C49:C51=""),E49:E51,K49:K51)/SUMPRODUCT(--(C49:C51=""),E49:E51),0)</f>
        <v>0.4166666667</v>
      </c>
      <c r="L48" s="101"/>
      <c r="M48" s="101"/>
      <c r="N48" s="101"/>
      <c r="Q48" s="41"/>
      <c r="R48" s="41"/>
      <c r="S48" s="41"/>
    </row>
    <row r="49" ht="27.0" hidden="1" customHeight="1" outlineLevel="2">
      <c r="A49" s="91" t="s">
        <v>160</v>
      </c>
      <c r="B49" s="91" t="s">
        <v>293</v>
      </c>
      <c r="C49" s="11"/>
      <c r="D49" s="11" t="s">
        <v>294</v>
      </c>
      <c r="E49" s="92">
        <v>5.0</v>
      </c>
      <c r="F49" s="94">
        <f t="array" ref="F49">INDEX(FECHAS,MATCH(INDEX(NLAB,MATCH($G$42,FECHAS,0))+1,NLAB,0))</f>
        <v>46287</v>
      </c>
      <c r="G49" s="94">
        <f t="array" ref="G49">IF(E49=0,F49,INDEX(FECHAS,MATCH(INDEX(NLAB,MATCH(F49,FECHAS,0))+E49-1,NLAB,0)))</f>
        <v>46291</v>
      </c>
      <c r="H49" s="22" t="s">
        <v>157</v>
      </c>
      <c r="I49" s="11" t="s">
        <v>258</v>
      </c>
      <c r="J49" s="91" t="str">
        <f>IF(K49&gt;=1,"Completado",IF(G49&lt;FECHA_ESTADO,"Atrasado",IF(K49&gt;0,"En progreso","No iniciado")))</f>
        <v>Completado</v>
      </c>
      <c r="K49" s="95">
        <v>1.0</v>
      </c>
      <c r="L49" s="91">
        <f t="array" ref="L49">INDEX(NLAB,MATCH($F$50,FECHAS,0))-1-INDEX(NLAB,MATCH(G49,FECHAS,0))</f>
        <v>0</v>
      </c>
      <c r="M49" s="91">
        <v>3.0</v>
      </c>
      <c r="N49" s="91" t="str">
        <f t="shared" ref="N49:N51" si="52">IF(M49&lt;=0,"Sí","No")</f>
        <v>No</v>
      </c>
      <c r="Q49" s="41"/>
    </row>
    <row r="50" ht="27.0" hidden="1" customHeight="1" outlineLevel="2">
      <c r="A50" s="91" t="s">
        <v>160</v>
      </c>
      <c r="B50" s="91" t="s">
        <v>295</v>
      </c>
      <c r="C50" s="11"/>
      <c r="D50" s="11" t="s">
        <v>296</v>
      </c>
      <c r="E50" s="92">
        <v>4.0</v>
      </c>
      <c r="F50" s="94">
        <f t="array" ref="F50">INDEX(FECHAS,MATCH(INDEX(NLAB,MATCH($G$49,FECHAS,0))+1,NLAB,0))</f>
        <v>46293</v>
      </c>
      <c r="G50" s="94">
        <f t="array" ref="G50">IF(E50=0,F50,INDEX(FECHAS,MATCH(INDEX(NLAB,MATCH(F50,FECHAS,0))+E50-1,NLAB,0)))</f>
        <v>46296</v>
      </c>
      <c r="H50" s="22" t="s">
        <v>293</v>
      </c>
      <c r="I50" s="11" t="s">
        <v>297</v>
      </c>
      <c r="J50" s="91" t="str">
        <f>IF(K50&gt;=1,"Completado",IF(G50&lt;FECHA_ESTADO,"Atrasado",IF(K50&gt;0,"En progreso","No iniciado")))</f>
        <v>No iniciado</v>
      </c>
      <c r="K50" s="95">
        <v>0.0</v>
      </c>
      <c r="L50" s="91">
        <f t="array" ref="L50">MIN(INDEX(NLAB,MATCH($F$51,FECHAS,0))-1,INDEX(NLAB,MATCH($F$53,FECHAS,0))-1,INDEX(NLAB,MATCH($F$56,FECHAS,0))-1,INDEX(NLAB,MATCH($F$60,FECHAS,0))-1,INDEX(NLAB,MATCH($F$62,FECHAS,0))-1,INDEX(NLAB,MATCH($F$65,FECHAS,0))-1,INDEX(NLAB,MATCH($F$68,FECHAS,0))-1,INDEX(NLAB,MATCH($F$71,FECHAS,0))-1)-INDEX(NLAB,MATCH(G50,FECHAS,0))</f>
        <v>0</v>
      </c>
      <c r="M50" s="91">
        <v>3.0</v>
      </c>
      <c r="N50" s="91" t="str">
        <f t="shared" si="52"/>
        <v>No</v>
      </c>
      <c r="R50" s="41"/>
    </row>
    <row r="51" ht="27.0" hidden="1" customHeight="1" outlineLevel="2">
      <c r="A51" s="91" t="s">
        <v>160</v>
      </c>
      <c r="B51" s="91" t="s">
        <v>298</v>
      </c>
      <c r="C51" s="11"/>
      <c r="D51" s="11" t="s">
        <v>299</v>
      </c>
      <c r="E51" s="92">
        <v>3.0</v>
      </c>
      <c r="F51" s="94">
        <f t="array" ref="F51">INDEX(FECHAS,MATCH(INDEX(NLAB,MATCH($G$50,FECHAS,0))+1,NLAB,0))</f>
        <v>46297</v>
      </c>
      <c r="G51" s="94">
        <f t="array" ref="G51">IF(E51=0,F51,INDEX(FECHAS,MATCH(INDEX(NLAB,MATCH(F51,FECHAS,0))+E51-1,NLAB,0)))</f>
        <v>46300</v>
      </c>
      <c r="H51" s="22" t="s">
        <v>295</v>
      </c>
      <c r="I51" s="11" t="s">
        <v>300</v>
      </c>
      <c r="J51" s="91" t="str">
        <f>IF(K51&gt;=1,"Completado",IF(G51&lt;FECHA_ESTADO,"Atrasado",IF(K51&gt;0,"En progreso","No iniciado")))</f>
        <v>No iniciado</v>
      </c>
      <c r="K51" s="95">
        <v>0.0</v>
      </c>
      <c r="L51" s="91">
        <f t="array" ref="L51">MIN(INDEX(NLAB,MATCH($F$45,FECHAS,0))-1,INDEX(NLAB,MATCH($F$113,FECHAS,0))-1,INDEX(NLAB,MATCH($F$143,FECHAS,0))-1,INDEX(NLAB,MATCH($F$173,FECHAS,0))-1,INDEX(NLAB,MATCH($F$204,FECHAS,0))-1,INDEX(NLAB,MATCH($F$231,FECHAS,0))-1,INDEX(NLAB,MATCH($F$259,FECHAS,0))-1)-INDEX(NLAB,MATCH(G51,FECHAS,0))</f>
        <v>9</v>
      </c>
      <c r="M51" s="91">
        <v>12.0</v>
      </c>
      <c r="N51" s="91" t="str">
        <f t="shared" si="52"/>
        <v>No</v>
      </c>
      <c r="R51" s="41"/>
      <c r="S51" s="41"/>
    </row>
    <row r="52" hidden="1" outlineLevel="1" collapsed="1">
      <c r="A52" s="101" t="s">
        <v>160</v>
      </c>
      <c r="B52" s="101" t="s">
        <v>301</v>
      </c>
      <c r="C52" s="102" t="s">
        <v>302</v>
      </c>
      <c r="D52" s="102"/>
      <c r="E52" s="101">
        <f t="array" ref="E52">INDEX(NLAB,MATCH(G52,FECHAS,0))-INDEX(NLAB,MATCH(F52,FECHAS,0))+1</f>
        <v>10</v>
      </c>
      <c r="F52" s="103">
        <f>MIN(F53:F54)</f>
        <v>46297</v>
      </c>
      <c r="G52" s="103">
        <f>MAX(G53:G54)</f>
        <v>46309</v>
      </c>
      <c r="H52" s="104"/>
      <c r="I52" s="102"/>
      <c r="J52" s="101" t="str">
        <f>IF(K52&gt;=1,"Completado",IF(AND(G52&lt;FECHA_ESTADO,K52&lt;1),"Atrasado",IF(K52&gt;0,"En progreso","No iniciado")))</f>
        <v>No iniciado</v>
      </c>
      <c r="K52" s="105">
        <f>IFERROR(SUMPRODUCT(--(C53:C54=""),E53:E54,K53:K54)/SUMPRODUCT(--(C53:C54=""),E53:E54),0)</f>
        <v>0</v>
      </c>
      <c r="L52" s="101"/>
      <c r="M52" s="101"/>
      <c r="N52" s="101"/>
      <c r="R52" s="41"/>
      <c r="S52" s="41"/>
      <c r="T52" s="41"/>
    </row>
    <row r="53" ht="27.0" hidden="1" customHeight="1" outlineLevel="2">
      <c r="A53" s="91" t="s">
        <v>160</v>
      </c>
      <c r="B53" s="91" t="s">
        <v>303</v>
      </c>
      <c r="C53" s="11"/>
      <c r="D53" s="11" t="s">
        <v>304</v>
      </c>
      <c r="E53" s="92">
        <v>6.0</v>
      </c>
      <c r="F53" s="94">
        <f t="array" ref="F53">INDEX(FECHAS,MATCH(INDEX(NLAB,MATCH($G$50,FECHAS,0))+1,NLAB,0))</f>
        <v>46297</v>
      </c>
      <c r="G53" s="94">
        <f t="array" ref="G53">IF(E53=0,F53,INDEX(FECHAS,MATCH(INDEX(NLAB,MATCH(F53,FECHAS,0))+E53-1,NLAB,0)))</f>
        <v>46304</v>
      </c>
      <c r="H53" s="22" t="s">
        <v>295</v>
      </c>
      <c r="I53" s="11" t="s">
        <v>286</v>
      </c>
      <c r="J53" s="91" t="str">
        <f>IF(K53&gt;=1,"Completado",IF(G53&lt;FECHA_ESTADO,"Atrasado",IF(K53&gt;0,"En progreso","No iniciado")))</f>
        <v>No iniciado</v>
      </c>
      <c r="K53" s="95">
        <v>0.0</v>
      </c>
      <c r="L53" s="91">
        <f t="array" ref="L53">INDEX(NLAB,MATCH($F$54,FECHAS,0))-1-INDEX(NLAB,MATCH(G53,FECHAS,0))</f>
        <v>0</v>
      </c>
      <c r="M53" s="91">
        <v>5.0</v>
      </c>
      <c r="N53" s="91" t="str">
        <f t="shared" ref="N53:N54" si="53">IF(M53&lt;=0,"Sí","No")</f>
        <v>No</v>
      </c>
      <c r="R53" s="41"/>
      <c r="S53" s="41"/>
    </row>
    <row r="54" ht="27.0" hidden="1" customHeight="1" outlineLevel="2">
      <c r="A54" s="91" t="s">
        <v>160</v>
      </c>
      <c r="B54" s="91" t="s">
        <v>305</v>
      </c>
      <c r="C54" s="11"/>
      <c r="D54" s="11" t="s">
        <v>306</v>
      </c>
      <c r="E54" s="92">
        <v>4.0</v>
      </c>
      <c r="F54" s="94">
        <f t="array" ref="F54">INDEX(FECHAS,MATCH(INDEX(NLAB,MATCH($G$53,FECHAS,0))+1,NLAB,0))</f>
        <v>46305</v>
      </c>
      <c r="G54" s="94">
        <f t="array" ref="G54">IF(E54=0,F54,INDEX(FECHAS,MATCH(INDEX(NLAB,MATCH(F54,FECHAS,0))+E54-1,NLAB,0)))</f>
        <v>46309</v>
      </c>
      <c r="H54" s="22" t="s">
        <v>303</v>
      </c>
      <c r="I54" s="11" t="s">
        <v>307</v>
      </c>
      <c r="J54" s="91" t="str">
        <f>IF(K54&gt;=1,"Completado",IF(G54&lt;FECHA_ESTADO,"Atrasado",IF(K54&gt;0,"En progreso","No iniciado")))</f>
        <v>No iniciado</v>
      </c>
      <c r="K54" s="95">
        <v>0.0</v>
      </c>
      <c r="L54" s="91">
        <f t="array" ref="L54">MIN(INDEX(NLAB,MATCH($F$45,FECHAS,0))-1,INDEX(NLAB,MATCH($F$114,FECHAS,0))-1,INDEX(NLAB,MATCH($F$121,FECHAS,0))-1,INDEX(NLAB,MATCH($F$144,FECHAS,0))-1,INDEX(NLAB,MATCH($F$151,FECHAS,0))-1,INDEX(NLAB,MATCH($F$174,FECHAS,0))-1,INDEX(NLAB,MATCH($F$181,FECHAS,0))-1,INDEX(NLAB,MATCH($F$205,FECHAS,0))-1,INDEX(NLAB,MATCH($F$232,FECHAS,0))-1,INDEX(NLAB,MATCH($F$237,FECHAS,0))-1,INDEX(NLAB,MATCH($F$260,FECHAS,0))-1,INDEX(NLAB,MATCH($F$265,FECHAS,0))-1,INDEX(NLAB,MATCH($F$289,FECHAS,0))-1,INDEX(NLAB,MATCH($F$296,FECHAS,0))-1)-INDEX(NLAB,MATCH(G54,FECHAS,0))</f>
        <v>2</v>
      </c>
      <c r="M54" s="91">
        <v>5.0</v>
      </c>
      <c r="N54" s="91" t="str">
        <f t="shared" si="53"/>
        <v>No</v>
      </c>
      <c r="S54" s="41"/>
      <c r="T54" s="41"/>
    </row>
    <row r="55" hidden="1" outlineLevel="1" collapsed="1">
      <c r="A55" s="101" t="s">
        <v>160</v>
      </c>
      <c r="B55" s="101" t="s">
        <v>308</v>
      </c>
      <c r="C55" s="102" t="s">
        <v>309</v>
      </c>
      <c r="D55" s="102"/>
      <c r="E55" s="101">
        <f t="array" ref="E55">INDEX(NLAB,MATCH(G55,FECHAS,0))-INDEX(NLAB,MATCH(F55,FECHAS,0))+1</f>
        <v>7</v>
      </c>
      <c r="F55" s="103">
        <f>MIN(F56:F57)</f>
        <v>46297</v>
      </c>
      <c r="G55" s="103">
        <f>MAX(G56:G57)</f>
        <v>46305</v>
      </c>
      <c r="H55" s="104"/>
      <c r="I55" s="102"/>
      <c r="J55" s="101" t="str">
        <f>IF(K55&gt;=1,"Completado",IF(AND(G55&lt;FECHA_ESTADO,K55&lt;1),"Atrasado",IF(K55&gt;0,"En progreso","No iniciado")))</f>
        <v>No iniciado</v>
      </c>
      <c r="K55" s="105">
        <f>IFERROR(SUMPRODUCT(--(C56:C57=""),E56:E57,K56:K57)/SUMPRODUCT(--(C56:C57=""),E56:E57),0)</f>
        <v>0</v>
      </c>
      <c r="L55" s="101"/>
      <c r="M55" s="101"/>
      <c r="N55" s="101"/>
      <c r="R55" s="41"/>
      <c r="S55" s="41"/>
    </row>
    <row r="56" ht="15.75" hidden="1" customHeight="1" outlineLevel="2">
      <c r="A56" s="91" t="s">
        <v>160</v>
      </c>
      <c r="B56" s="91" t="s">
        <v>310</v>
      </c>
      <c r="C56" s="11"/>
      <c r="D56" s="11" t="s">
        <v>311</v>
      </c>
      <c r="E56" s="92">
        <v>4.0</v>
      </c>
      <c r="F56" s="94">
        <f t="array" ref="F56">INDEX(FECHAS,MATCH(INDEX(NLAB,MATCH($G$50,FECHAS,0))+1,NLAB,0))</f>
        <v>46297</v>
      </c>
      <c r="G56" s="94">
        <f t="array" ref="G56">IF(E56=0,F56,INDEX(FECHAS,MATCH(INDEX(NLAB,MATCH(F56,FECHAS,0))+E56-1,NLAB,0)))</f>
        <v>46301</v>
      </c>
      <c r="H56" s="22" t="s">
        <v>295</v>
      </c>
      <c r="I56" s="11" t="s">
        <v>312</v>
      </c>
      <c r="J56" s="91" t="str">
        <f>IF(K56&gt;=1,"Completado",IF(G56&lt;FECHA_ESTADO,"Atrasado",IF(K56&gt;0,"En progreso","No iniciado")))</f>
        <v>No iniciado</v>
      </c>
      <c r="K56" s="95">
        <v>0.0</v>
      </c>
      <c r="L56" s="91">
        <f t="array" ref="L56">INDEX(NLAB,MATCH($F$57,FECHAS,0))-1-INDEX(NLAB,MATCH(G56,FECHAS,0))</f>
        <v>0</v>
      </c>
      <c r="M56" s="91">
        <v>8.0</v>
      </c>
      <c r="N56" s="91" t="str">
        <f t="shared" ref="N56:N57" si="54">IF(M56&lt;=0,"Sí","No")</f>
        <v>No</v>
      </c>
      <c r="R56" s="41"/>
      <c r="S56" s="41"/>
    </row>
    <row r="57" ht="27.0" hidden="1" customHeight="1" outlineLevel="2">
      <c r="A57" s="91" t="s">
        <v>160</v>
      </c>
      <c r="B57" s="91" t="s">
        <v>313</v>
      </c>
      <c r="C57" s="11"/>
      <c r="D57" s="11" t="s">
        <v>314</v>
      </c>
      <c r="E57" s="92">
        <v>3.0</v>
      </c>
      <c r="F57" s="94">
        <f t="array" ref="F57">INDEX(FECHAS,MATCH(INDEX(NLAB,MATCH($G$56,FECHAS,0))+1,NLAB,0))</f>
        <v>46302</v>
      </c>
      <c r="G57" s="94">
        <f t="array" ref="G57">IF(E57=0,F57,INDEX(FECHAS,MATCH(INDEX(NLAB,MATCH(F57,FECHAS,0))+E57-1,NLAB,0)))</f>
        <v>46305</v>
      </c>
      <c r="H57" s="22" t="s">
        <v>310</v>
      </c>
      <c r="I57" s="11" t="s">
        <v>315</v>
      </c>
      <c r="J57" s="91" t="str">
        <f>IF(K57&gt;=1,"Completado",IF(G57&lt;FECHA_ESTADO,"Atrasado",IF(K57&gt;0,"En progreso","No iniciado")))</f>
        <v>No iniciado</v>
      </c>
      <c r="K57" s="95">
        <v>0.0</v>
      </c>
      <c r="L57" s="91">
        <f t="array" ref="L57">MIN(INDEX(NLAB,MATCH($F$45,FECHAS,0))-1,INDEX(NLAB,MATCH($F$95,FECHAS,0))-1)-INDEX(NLAB,MATCH(G57,FECHAS,0))</f>
        <v>5</v>
      </c>
      <c r="M57" s="91">
        <v>8.0</v>
      </c>
      <c r="N57" s="91" t="str">
        <f t="shared" si="54"/>
        <v>No</v>
      </c>
      <c r="S57" s="41"/>
    </row>
    <row r="58" ht="15.75" hidden="1" customHeight="1" outlineLevel="1" collapsed="1">
      <c r="A58" s="101" t="s">
        <v>160</v>
      </c>
      <c r="B58" s="101" t="s">
        <v>316</v>
      </c>
      <c r="C58" s="102" t="s">
        <v>317</v>
      </c>
      <c r="D58" s="102"/>
      <c r="E58" s="101">
        <f t="array" ref="E58">INDEX(NLAB,MATCH(G58,FECHAS,0))-INDEX(NLAB,MATCH(F58,FECHAS,0))+1</f>
        <v>18</v>
      </c>
      <c r="F58" s="103">
        <f>MIN(F59:F60)</f>
        <v>46280</v>
      </c>
      <c r="G58" s="103">
        <f>MAX(G59:G60)</f>
        <v>46300</v>
      </c>
      <c r="H58" s="104"/>
      <c r="I58" s="102"/>
      <c r="J58" s="101" t="str">
        <f>IF(K58&gt;=1,"Completado",IF(AND(G58&lt;FECHA_ESTADO,K58&lt;1),"Atrasado",IF(K58&gt;0,"En progreso","No iniciado")))</f>
        <v>En progreso</v>
      </c>
      <c r="K58" s="105">
        <f>IFERROR(SUMPRODUCT(--(C59:C60=""),E59:E60,K59:K60)/SUMPRODUCT(--(C59:C60=""),E59:E60),0)</f>
        <v>0.625</v>
      </c>
      <c r="L58" s="101"/>
      <c r="M58" s="101"/>
      <c r="N58" s="101"/>
      <c r="P58" s="41"/>
      <c r="Q58" s="41"/>
      <c r="R58" s="41"/>
      <c r="S58" s="41"/>
    </row>
    <row r="59" ht="15.75" hidden="1" customHeight="1" outlineLevel="2">
      <c r="A59" s="91" t="s">
        <v>160</v>
      </c>
      <c r="B59" s="91" t="s">
        <v>318</v>
      </c>
      <c r="C59" s="11"/>
      <c r="D59" s="11" t="s">
        <v>319</v>
      </c>
      <c r="E59" s="92">
        <v>5.0</v>
      </c>
      <c r="F59" s="94">
        <f t="array" ref="F59">INDEX(FECHAS,MATCH(INDEX(NLAB,MATCH($G$32,FECHAS,0))+1,NLAB,0))</f>
        <v>46280</v>
      </c>
      <c r="G59" s="94">
        <f t="array" ref="G59">IF(E59=0,F59,INDEX(FECHAS,MATCH(INDEX(NLAB,MATCH(F59,FECHAS,0))+E59-1,NLAB,0)))</f>
        <v>46284</v>
      </c>
      <c r="H59" s="22" t="s">
        <v>145</v>
      </c>
      <c r="I59" s="11" t="s">
        <v>258</v>
      </c>
      <c r="J59" s="91" t="str">
        <f>IF(K59&gt;=1,"Completado",IF(G59&lt;FECHA_ESTADO,"Atrasado",IF(K59&gt;0,"En progreso","No iniciado")))</f>
        <v>Completado</v>
      </c>
      <c r="K59" s="95">
        <v>1.0</v>
      </c>
      <c r="L59" s="91">
        <f t="array" ref="L59">INDEX(NLAB,MATCH($F$60,FECHAS,0))-1-INDEX(NLAB,MATCH(G59,FECHAS,0))</f>
        <v>10</v>
      </c>
      <c r="M59" s="91">
        <v>22.0</v>
      </c>
      <c r="N59" s="91" t="str">
        <f t="shared" ref="N59:N60" si="55">IF(M59&lt;=0,"Sí","No")</f>
        <v>No</v>
      </c>
      <c r="P59" s="41"/>
    </row>
    <row r="60" ht="27.0" hidden="1" customHeight="1" outlineLevel="2">
      <c r="A60" s="91" t="s">
        <v>160</v>
      </c>
      <c r="B60" s="91" t="s">
        <v>320</v>
      </c>
      <c r="C60" s="11"/>
      <c r="D60" s="11" t="s">
        <v>321</v>
      </c>
      <c r="E60" s="92">
        <v>3.0</v>
      </c>
      <c r="F60" s="94">
        <f t="array" ref="F60">INDEX(FECHAS,MATCH(INDEX(NLAB,MATCH(MAX($G$50,$G$59),FECHAS,0))+1,NLAB,0))</f>
        <v>46297</v>
      </c>
      <c r="G60" s="94">
        <f t="array" ref="G60">IF(E60=0,F60,INDEX(FECHAS,MATCH(INDEX(NLAB,MATCH(F60,FECHAS,0))+E60-1,NLAB,0)))</f>
        <v>46300</v>
      </c>
      <c r="H60" s="22" t="s">
        <v>322</v>
      </c>
      <c r="I60" s="11" t="s">
        <v>258</v>
      </c>
      <c r="J60" s="91" t="str">
        <f>IF(K60&gt;=1,"Completado",IF(G60&lt;FECHA_ESTADO,"Atrasado",IF(K60&gt;0,"En progreso","No iniciado")))</f>
        <v>No iniciado</v>
      </c>
      <c r="K60" s="95">
        <v>0.0</v>
      </c>
      <c r="L60" s="91">
        <f t="array" ref="L60">INDEX(NLAB,MATCH($F$45,FECHAS,0))-1-INDEX(NLAB,MATCH(G60,FECHAS,0))</f>
        <v>9</v>
      </c>
      <c r="M60" s="91">
        <v>12.0</v>
      </c>
      <c r="N60" s="91" t="str">
        <f t="shared" si="55"/>
        <v>No</v>
      </c>
      <c r="R60" s="41"/>
      <c r="S60" s="41"/>
    </row>
    <row r="61" ht="15.75" hidden="1" customHeight="1" outlineLevel="1" collapsed="1">
      <c r="A61" s="101" t="s">
        <v>160</v>
      </c>
      <c r="B61" s="101" t="s">
        <v>323</v>
      </c>
      <c r="C61" s="102" t="s">
        <v>324</v>
      </c>
      <c r="D61" s="102"/>
      <c r="E61" s="101">
        <f t="array" ref="E61">INDEX(NLAB,MATCH(G61,FECHAS,0))-INDEX(NLAB,MATCH(F61,FECHAS,0))+1</f>
        <v>12</v>
      </c>
      <c r="F61" s="103">
        <f>MIN(F62:F63)</f>
        <v>46297</v>
      </c>
      <c r="G61" s="103">
        <f>MAX(G62:G63)</f>
        <v>46311</v>
      </c>
      <c r="H61" s="104"/>
      <c r="I61" s="102"/>
      <c r="J61" s="101" t="str">
        <f>IF(K61&gt;=1,"Completado",IF(AND(G61&lt;FECHA_ESTADO,K61&lt;1),"Atrasado",IF(K61&gt;0,"En progreso","No iniciado")))</f>
        <v>No iniciado</v>
      </c>
      <c r="K61" s="105">
        <f>IFERROR(SUMPRODUCT(--(C62:C63=""),E62:E63,K62:K63)/SUMPRODUCT(--(C62:C63=""),E62:E63),0)</f>
        <v>0</v>
      </c>
      <c r="L61" s="101"/>
      <c r="M61" s="101"/>
      <c r="N61" s="101"/>
      <c r="R61" s="41"/>
      <c r="S61" s="41"/>
      <c r="T61" s="41"/>
    </row>
    <row r="62" ht="27.0" hidden="1" customHeight="1" outlineLevel="2">
      <c r="A62" s="91" t="s">
        <v>160</v>
      </c>
      <c r="B62" s="91" t="s">
        <v>325</v>
      </c>
      <c r="C62" s="11"/>
      <c r="D62" s="11" t="s">
        <v>326</v>
      </c>
      <c r="E62" s="92">
        <v>8.0</v>
      </c>
      <c r="F62" s="94">
        <f t="array" ref="F62">INDEX(FECHAS,MATCH(INDEX(NLAB,MATCH($G$50,FECHAS,0))+1,NLAB,0))</f>
        <v>46297</v>
      </c>
      <c r="G62" s="94">
        <f t="array" ref="G62">IF(E62=0,F62,INDEX(FECHAS,MATCH(INDEX(NLAB,MATCH(F62,FECHAS,0))+E62-1,NLAB,0)))</f>
        <v>46307</v>
      </c>
      <c r="H62" s="22" t="s">
        <v>295</v>
      </c>
      <c r="I62" s="11" t="s">
        <v>327</v>
      </c>
      <c r="J62" s="91" t="str">
        <f>IF(K62&gt;=1,"Completado",IF(G62&lt;FECHA_ESTADO,"Atrasado",IF(K62&gt;0,"En progreso","No iniciado")))</f>
        <v>No iniciado</v>
      </c>
      <c r="K62" s="95">
        <v>0.0</v>
      </c>
      <c r="L62" s="91">
        <f t="array" ref="L62">MIN(INDEX(NLAB,MATCH($F$63,FECHAS,0))-1,INDEX(NLAB,MATCH($F$69,FECHAS,0))-1,INDEX(NLAB,MATCH($F$72,FECHAS,0))-1)-INDEX(NLAB,MATCH(G62,FECHAS,0))</f>
        <v>0</v>
      </c>
      <c r="M62" s="91">
        <v>3.0</v>
      </c>
      <c r="N62" s="91" t="str">
        <f t="shared" ref="N62:N63" si="56">IF(M62&lt;=0,"Sí","No")</f>
        <v>No</v>
      </c>
      <c r="R62" s="41"/>
      <c r="S62" s="41"/>
      <c r="T62" s="41"/>
    </row>
    <row r="63" ht="27.0" hidden="1" customHeight="1" outlineLevel="2">
      <c r="A63" s="91" t="s">
        <v>160</v>
      </c>
      <c r="B63" s="91" t="s">
        <v>328</v>
      </c>
      <c r="C63" s="11"/>
      <c r="D63" s="11" t="s">
        <v>329</v>
      </c>
      <c r="E63" s="92">
        <v>4.0</v>
      </c>
      <c r="F63" s="94">
        <f t="array" ref="F63">INDEX(FECHAS,MATCH(INDEX(NLAB,MATCH($G$62,FECHAS,0))+1,NLAB,0))</f>
        <v>46308</v>
      </c>
      <c r="G63" s="94">
        <f t="array" ref="G63">IF(E63=0,F63,INDEX(FECHAS,MATCH(INDEX(NLAB,MATCH(F63,FECHAS,0))+E63-1,NLAB,0)))</f>
        <v>46311</v>
      </c>
      <c r="H63" s="22" t="s">
        <v>325</v>
      </c>
      <c r="I63" s="11" t="s">
        <v>330</v>
      </c>
      <c r="J63" s="91" t="str">
        <f>IF(K63&gt;=1,"Completado",IF(G63&lt;FECHA_ESTADO,"Atrasado",IF(K63&gt;0,"En progreso","No iniciado")))</f>
        <v>No iniciado</v>
      </c>
      <c r="K63" s="95">
        <v>0.0</v>
      </c>
      <c r="L63" s="91">
        <f t="array" ref="L63">INDEX(NLAB,MATCH($F$45,FECHAS,0))-1-INDEX(NLAB,MATCH(G63,FECHAS,0))</f>
        <v>0</v>
      </c>
      <c r="M63" s="91">
        <v>3.0</v>
      </c>
      <c r="N63" s="91" t="str">
        <f t="shared" si="56"/>
        <v>No</v>
      </c>
      <c r="T63" s="41"/>
    </row>
    <row r="64" ht="15.75" hidden="1" customHeight="1" outlineLevel="1" collapsed="1">
      <c r="A64" s="101" t="s">
        <v>160</v>
      </c>
      <c r="B64" s="101" t="s">
        <v>331</v>
      </c>
      <c r="C64" s="102" t="s">
        <v>332</v>
      </c>
      <c r="D64" s="102"/>
      <c r="E64" s="101">
        <f t="array" ref="E64">INDEX(NLAB,MATCH(G64,FECHAS,0))-INDEX(NLAB,MATCH(F64,FECHAS,0))+1</f>
        <v>8</v>
      </c>
      <c r="F64" s="103">
        <f>MIN(F65:F66)</f>
        <v>46297</v>
      </c>
      <c r="G64" s="103">
        <f>MAX(G65:G66)</f>
        <v>46307</v>
      </c>
      <c r="H64" s="104"/>
      <c r="I64" s="102"/>
      <c r="J64" s="101" t="str">
        <f>IF(K64&gt;=1,"Completado",IF(AND(G64&lt;FECHA_ESTADO,K64&lt;1),"Atrasado",IF(K64&gt;0,"En progreso","No iniciado")))</f>
        <v>No iniciado</v>
      </c>
      <c r="K64" s="105">
        <f>IFERROR(SUMPRODUCT(--(C65:C66=""),E65:E66,K65:K66)/SUMPRODUCT(--(C65:C66=""),E65:E66),0)</f>
        <v>0</v>
      </c>
      <c r="L64" s="101"/>
      <c r="M64" s="101"/>
      <c r="N64" s="101"/>
      <c r="R64" s="41"/>
      <c r="S64" s="41"/>
      <c r="T64" s="41"/>
    </row>
    <row r="65" ht="15.75" hidden="1" customHeight="1" outlineLevel="2">
      <c r="A65" s="91" t="s">
        <v>160</v>
      </c>
      <c r="B65" s="91" t="s">
        <v>333</v>
      </c>
      <c r="C65" s="11"/>
      <c r="D65" s="11" t="s">
        <v>334</v>
      </c>
      <c r="E65" s="92">
        <v>4.0</v>
      </c>
      <c r="F65" s="94">
        <f t="array" ref="F65">INDEX(FECHAS,MATCH(INDEX(NLAB,MATCH($G$50,FECHAS,0))+1,NLAB,0))</f>
        <v>46297</v>
      </c>
      <c r="G65" s="94">
        <f t="array" ref="G65">IF(E65=0,F65,INDEX(FECHAS,MATCH(INDEX(NLAB,MATCH(F65,FECHAS,0))+E65-1,NLAB,0)))</f>
        <v>46301</v>
      </c>
      <c r="H65" s="22" t="s">
        <v>295</v>
      </c>
      <c r="I65" s="11" t="s">
        <v>335</v>
      </c>
      <c r="J65" s="91" t="str">
        <f>IF(K65&gt;=1,"Completado",IF(G65&lt;FECHA_ESTADO,"Atrasado",IF(K65&gt;0,"En progreso","No iniciado")))</f>
        <v>No iniciado</v>
      </c>
      <c r="K65" s="95">
        <v>0.0</v>
      </c>
      <c r="L65" s="91">
        <f t="array" ref="L65">INDEX(NLAB,MATCH($F$66,FECHAS,0))-1-INDEX(NLAB,MATCH(G65,FECHAS,0))</f>
        <v>0</v>
      </c>
      <c r="M65" s="91">
        <v>7.0</v>
      </c>
      <c r="N65" s="91" t="str">
        <f t="shared" ref="N65:N66" si="57">IF(M65&lt;=0,"Sí","No")</f>
        <v>No</v>
      </c>
      <c r="R65" s="41"/>
      <c r="S65" s="41"/>
    </row>
    <row r="66" ht="27.0" hidden="1" customHeight="1" outlineLevel="2">
      <c r="A66" s="91" t="s">
        <v>160</v>
      </c>
      <c r="B66" s="91" t="s">
        <v>336</v>
      </c>
      <c r="C66" s="11"/>
      <c r="D66" s="11" t="s">
        <v>337</v>
      </c>
      <c r="E66" s="92">
        <v>4.0</v>
      </c>
      <c r="F66" s="94">
        <f t="array" ref="F66">INDEX(FECHAS,MATCH(INDEX(NLAB,MATCH($G$65,FECHAS,0))+1,NLAB,0))</f>
        <v>46302</v>
      </c>
      <c r="G66" s="94">
        <f t="array" ref="G66">IF(E66=0,F66,INDEX(FECHAS,MATCH(INDEX(NLAB,MATCH(F66,FECHAS,0))+E66-1,NLAB,0)))</f>
        <v>46307</v>
      </c>
      <c r="H66" s="22" t="s">
        <v>333</v>
      </c>
      <c r="I66" s="11" t="s">
        <v>338</v>
      </c>
      <c r="J66" s="91" t="str">
        <f>IF(K66&gt;=1,"Completado",IF(G66&lt;FECHA_ESTADO,"Atrasado",IF(K66&gt;0,"En progreso","No iniciado")))</f>
        <v>No iniciado</v>
      </c>
      <c r="K66" s="95">
        <v>0.0</v>
      </c>
      <c r="L66" s="91">
        <f t="array" ref="L66">MIN(INDEX(NLAB,MATCH($F$45,FECHAS,0))-1,INDEX(NLAB,MATCH($F$107,FECHAS,0))-1,INDEX(NLAB,MATCH($F$137,FECHAS,0))-1,INDEX(NLAB,MATCH($F$167,FECHAS,0))-1,INDEX(NLAB,MATCH($F$198,FECHAS,0))-1,INDEX(NLAB,MATCH($F$225,FECHAS,0))-1,INDEX(NLAB,MATCH($F$253,FECHAS,0))-1,INDEX(NLAB,MATCH($F$281,FECHAS,0))-1)-INDEX(NLAB,MATCH(G66,FECHAS,0))</f>
        <v>4</v>
      </c>
      <c r="M66" s="91">
        <v>7.0</v>
      </c>
      <c r="N66" s="91" t="str">
        <f t="shared" si="57"/>
        <v>No</v>
      </c>
      <c r="S66" s="41"/>
      <c r="T66" s="41"/>
    </row>
    <row r="67" ht="15.75" hidden="1" customHeight="1" outlineLevel="1" collapsed="1">
      <c r="A67" s="101" t="s">
        <v>160</v>
      </c>
      <c r="B67" s="101" t="s">
        <v>339</v>
      </c>
      <c r="C67" s="102" t="s">
        <v>340</v>
      </c>
      <c r="D67" s="102"/>
      <c r="E67" s="101">
        <f t="array" ref="E67">INDEX(NLAB,MATCH(G67,FECHAS,0))-INDEX(NLAB,MATCH(F67,FECHAS,0))+1</f>
        <v>11</v>
      </c>
      <c r="F67" s="103">
        <f>MIN(F68:F69)</f>
        <v>46297</v>
      </c>
      <c r="G67" s="103">
        <f>MAX(G68:G69)</f>
        <v>46310</v>
      </c>
      <c r="H67" s="104"/>
      <c r="I67" s="102"/>
      <c r="J67" s="101" t="str">
        <f>IF(K67&gt;=1,"Completado",IF(AND(G67&lt;FECHA_ESTADO,K67&lt;1),"Atrasado",IF(K67&gt;0,"En progreso","No iniciado")))</f>
        <v>No iniciado</v>
      </c>
      <c r="K67" s="105">
        <f>IFERROR(SUMPRODUCT(--(C68:C69=""),E68:E69,K68:K69)/SUMPRODUCT(--(C68:C69=""),E68:E69),0)</f>
        <v>0</v>
      </c>
      <c r="L67" s="101"/>
      <c r="M67" s="101"/>
      <c r="N67" s="101"/>
      <c r="R67" s="41"/>
      <c r="S67" s="41"/>
      <c r="T67" s="41"/>
    </row>
    <row r="68" ht="15.75" hidden="1" customHeight="1" outlineLevel="2">
      <c r="A68" s="91" t="s">
        <v>160</v>
      </c>
      <c r="B68" s="91" t="s">
        <v>341</v>
      </c>
      <c r="C68" s="11"/>
      <c r="D68" s="11" t="s">
        <v>342</v>
      </c>
      <c r="E68" s="92">
        <v>4.0</v>
      </c>
      <c r="F68" s="94">
        <f t="array" ref="F68">INDEX(FECHAS,MATCH(INDEX(NLAB,MATCH($G$50,FECHAS,0))+1,NLAB,0))</f>
        <v>46297</v>
      </c>
      <c r="G68" s="94">
        <f t="array" ref="G68">IF(E68=0,F68,INDEX(FECHAS,MATCH(INDEX(NLAB,MATCH(F68,FECHAS,0))+E68-1,NLAB,0)))</f>
        <v>46301</v>
      </c>
      <c r="H68" s="22" t="s">
        <v>295</v>
      </c>
      <c r="I68" s="11" t="s">
        <v>286</v>
      </c>
      <c r="J68" s="91" t="str">
        <f>IF(K68&gt;=1,"Completado",IF(G68&lt;FECHA_ESTADO,"Atrasado",IF(K68&gt;0,"En progreso","No iniciado")))</f>
        <v>No iniciado</v>
      </c>
      <c r="K68" s="95">
        <v>0.0</v>
      </c>
      <c r="L68" s="91">
        <f t="array" ref="L68">INDEX(NLAB,MATCH($F$69,FECHAS,0))-1-INDEX(NLAB,MATCH(G68,FECHAS,0))</f>
        <v>4</v>
      </c>
      <c r="M68" s="91">
        <v>8.0</v>
      </c>
      <c r="N68" s="91" t="str">
        <f t="shared" ref="N68:N69" si="58">IF(M68&lt;=0,"Sí","No")</f>
        <v>No</v>
      </c>
      <c r="R68" s="41"/>
      <c r="S68" s="41"/>
    </row>
    <row r="69" ht="27.0" hidden="1" customHeight="1" outlineLevel="2">
      <c r="A69" s="91" t="s">
        <v>160</v>
      </c>
      <c r="B69" s="91" t="s">
        <v>343</v>
      </c>
      <c r="C69" s="11"/>
      <c r="D69" s="11" t="s">
        <v>344</v>
      </c>
      <c r="E69" s="92">
        <v>3.0</v>
      </c>
      <c r="F69" s="94">
        <f t="array" ref="F69">INDEX(FECHAS,MATCH(INDEX(NLAB,MATCH(MAX($G$68,$G$62),FECHAS,0))+1,NLAB,0))</f>
        <v>46308</v>
      </c>
      <c r="G69" s="94">
        <f t="array" ref="G69">IF(E69=0,F69,INDEX(FECHAS,MATCH(INDEX(NLAB,MATCH(F69,FECHAS,0))+E69-1,NLAB,0)))</f>
        <v>46310</v>
      </c>
      <c r="H69" s="22" t="s">
        <v>345</v>
      </c>
      <c r="I69" s="11" t="s">
        <v>346</v>
      </c>
      <c r="J69" s="91" t="str">
        <f>IF(K69&gt;=1,"Completado",IF(G69&lt;FECHA_ESTADO,"Atrasado",IF(K69&gt;0,"En progreso","No iniciado")))</f>
        <v>No iniciado</v>
      </c>
      <c r="K69" s="95">
        <v>0.0</v>
      </c>
      <c r="L69" s="91">
        <f t="array" ref="L69">MIN(INDEX(NLAB,MATCH($F$45,FECHAS,0))-1,INDEX(NLAB,MATCH($F$288,FECHAS,0))-1)-INDEX(NLAB,MATCH(G69,FECHAS,0))</f>
        <v>1</v>
      </c>
      <c r="M69" s="91">
        <v>4.0</v>
      </c>
      <c r="N69" s="91" t="str">
        <f t="shared" si="58"/>
        <v>No</v>
      </c>
      <c r="T69" s="41"/>
    </row>
    <row r="70" ht="27.0" hidden="1" customHeight="1" outlineLevel="1" collapsed="1">
      <c r="A70" s="101" t="s">
        <v>160</v>
      </c>
      <c r="B70" s="101" t="s">
        <v>347</v>
      </c>
      <c r="C70" s="102" t="s">
        <v>348</v>
      </c>
      <c r="D70" s="102"/>
      <c r="E70" s="101">
        <f t="array" ref="E70">INDEX(NLAB,MATCH(G70,FECHAS,0))-INDEX(NLAB,MATCH(F70,FECHAS,0))+1</f>
        <v>11</v>
      </c>
      <c r="F70" s="103">
        <f>MIN(F71:F72)</f>
        <v>46297</v>
      </c>
      <c r="G70" s="103">
        <f>MAX(G71:G72)</f>
        <v>46310</v>
      </c>
      <c r="H70" s="104"/>
      <c r="I70" s="102"/>
      <c r="J70" s="101" t="str">
        <f>IF(K70&gt;=1,"Completado",IF(AND(G70&lt;FECHA_ESTADO,K70&lt;1),"Atrasado",IF(K70&gt;0,"En progreso","No iniciado")))</f>
        <v>No iniciado</v>
      </c>
      <c r="K70" s="105">
        <f>IFERROR(SUMPRODUCT(--(C71:C72=""),E71:E72,K71:K72)/SUMPRODUCT(--(C71:C72=""),E71:E72),0)</f>
        <v>0</v>
      </c>
      <c r="L70" s="101"/>
      <c r="M70" s="101"/>
      <c r="N70" s="101"/>
      <c r="R70" s="41"/>
      <c r="S70" s="41"/>
      <c r="T70" s="41"/>
    </row>
    <row r="71" ht="15.75" customHeight="1" outlineLevel="2">
      <c r="A71" s="91" t="s">
        <v>160</v>
      </c>
      <c r="B71" s="91" t="s">
        <v>349</v>
      </c>
      <c r="C71" s="11"/>
      <c r="D71" s="11" t="s">
        <v>350</v>
      </c>
      <c r="E71" s="92">
        <v>5.0</v>
      </c>
      <c r="F71" s="94">
        <f t="array" ref="F71">INDEX(FECHAS,MATCH(INDEX(NLAB,MATCH($G$50,FECHAS,0))+1,NLAB,0))</f>
        <v>46297</v>
      </c>
      <c r="G71" s="94">
        <f t="array" ref="G71">IF(E71=0,F71,INDEX(FECHAS,MATCH(INDEX(NLAB,MATCH(F71,FECHAS,0))+E71-1,NLAB,0)))</f>
        <v>46302</v>
      </c>
      <c r="H71" s="22" t="s">
        <v>295</v>
      </c>
      <c r="I71" s="11" t="s">
        <v>351</v>
      </c>
      <c r="J71" s="91" t="str">
        <f>IF(K71&gt;=1,"Completado",IF(G71&lt;FECHA_ESTADO,"Atrasado",IF(K71&gt;0,"En progreso","No iniciado")))</f>
        <v>No iniciado</v>
      </c>
      <c r="K71" s="95">
        <v>0.0</v>
      </c>
      <c r="L71" s="91">
        <f t="array" ref="L71">INDEX(NLAB,MATCH($F$72,FECHAS,0))-1-INDEX(NLAB,MATCH(G71,FECHAS,0))</f>
        <v>3</v>
      </c>
      <c r="M71" s="91">
        <v>7.0</v>
      </c>
      <c r="N71" s="91" t="str">
        <f t="shared" ref="N71:N72" si="59">IF(M71&lt;=0,"Sí","No")</f>
        <v>No</v>
      </c>
      <c r="R71" s="41"/>
      <c r="S71" s="41"/>
    </row>
    <row r="72" ht="15.75" customHeight="1" outlineLevel="2">
      <c r="A72" s="91" t="s">
        <v>160</v>
      </c>
      <c r="B72" s="91" t="s">
        <v>352</v>
      </c>
      <c r="C72" s="11"/>
      <c r="D72" s="11" t="s">
        <v>353</v>
      </c>
      <c r="E72" s="92">
        <v>3.0</v>
      </c>
      <c r="F72" s="94">
        <f t="array" ref="F72">INDEX(FECHAS,MATCH(INDEX(NLAB,MATCH(MAX($G$71,$G$62),FECHAS,0))+1,NLAB,0))</f>
        <v>46308</v>
      </c>
      <c r="G72" s="94">
        <f t="array" ref="G72">IF(E72=0,F72,INDEX(FECHAS,MATCH(INDEX(NLAB,MATCH(F72,FECHAS,0))+E72-1,NLAB,0)))</f>
        <v>46310</v>
      </c>
      <c r="H72" s="22" t="s">
        <v>354</v>
      </c>
      <c r="I72" s="11" t="s">
        <v>330</v>
      </c>
      <c r="J72" s="91" t="str">
        <f>IF(K72&gt;=1,"Completado",IF(G72&lt;FECHA_ESTADO,"Atrasado",IF(K72&gt;0,"En progreso","No iniciado")))</f>
        <v>No iniciado</v>
      </c>
      <c r="K72" s="95">
        <v>0.0</v>
      </c>
      <c r="L72" s="91">
        <f t="array" ref="L72">INDEX(NLAB,MATCH($F$45,FECHAS,0))-1-INDEX(NLAB,MATCH(G72,FECHAS,0))</f>
        <v>1</v>
      </c>
      <c r="M72" s="91">
        <v>4.0</v>
      </c>
      <c r="N72" s="91" t="str">
        <f t="shared" si="59"/>
        <v>No</v>
      </c>
      <c r="T72" s="41"/>
    </row>
    <row r="73" ht="15.75" customHeight="1">
      <c r="A73" s="106" t="s">
        <v>188</v>
      </c>
      <c r="B73" s="106" t="s">
        <v>355</v>
      </c>
      <c r="C73" s="107" t="s">
        <v>356</v>
      </c>
      <c r="D73" s="107"/>
      <c r="E73" s="106">
        <f t="array" ref="E73">INDEX(NLAB,MATCH(G73,FECHAS,0))-INDEX(NLAB,MATCH(F73,FECHAS,0))+1</f>
        <v>226</v>
      </c>
      <c r="F73" s="108">
        <f>MIN(F74:F309)</f>
        <v>46326</v>
      </c>
      <c r="G73" s="108">
        <f>MAX(G74:G309)</f>
        <v>46603</v>
      </c>
      <c r="H73" s="109"/>
      <c r="I73" s="107"/>
      <c r="J73" s="106" t="str">
        <f>IF(K73&gt;=1,"Completado",IF(AND(G73&lt;FECHA_ESTADO,K73&lt;1),"Atrasado",IF(K73&gt;0,"En progreso","No iniciado")))</f>
        <v>No iniciado</v>
      </c>
      <c r="K73" s="110">
        <f>IFERROR(SUMPRODUCT(--(C74:C309=""),E74:E309,K74:K309)/SUMPRODUCT(--(C74:C309=""),E74:E309),0)</f>
        <v>0</v>
      </c>
      <c r="L73" s="106"/>
      <c r="M73" s="106"/>
      <c r="N73" s="106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</row>
    <row r="74" ht="15.75" customHeight="1" outlineLevel="1">
      <c r="A74" s="111" t="s">
        <v>188</v>
      </c>
      <c r="B74" s="111" t="s">
        <v>357</v>
      </c>
      <c r="C74" s="112" t="s">
        <v>358</v>
      </c>
      <c r="D74" s="112"/>
      <c r="E74" s="111">
        <f t="array" ref="E74">INDEX(NLAB,MATCH(G74,FECHAS,0))-INDEX(NLAB,MATCH(F74,FECHAS,0))+1</f>
        <v>199</v>
      </c>
      <c r="F74" s="113">
        <f>MIN(F75:F89)</f>
        <v>46326</v>
      </c>
      <c r="G74" s="113">
        <f>MAX(G75:G89)</f>
        <v>46568</v>
      </c>
      <c r="H74" s="114"/>
      <c r="I74" s="112"/>
      <c r="J74" s="111" t="str">
        <f>IF(K74&gt;=1,"Completado",IF(AND(G74&lt;FECHA_ESTADO,K74&lt;1),"Atrasado",IF(K74&gt;0,"En progreso","No iniciado")))</f>
        <v>No iniciado</v>
      </c>
      <c r="K74" s="115">
        <f>IFERROR(SUMPRODUCT(--(C75:C89=""),E75:E89,K75:K89)/SUMPRODUCT(--(C75:C89=""),E75:E89),0)</f>
        <v>0</v>
      </c>
      <c r="L74" s="111"/>
      <c r="M74" s="111"/>
      <c r="N74" s="11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</row>
    <row r="75" ht="15.75" customHeight="1" outlineLevel="2">
      <c r="A75" s="116" t="s">
        <v>188</v>
      </c>
      <c r="B75" s="116" t="s">
        <v>359</v>
      </c>
      <c r="C75" s="117" t="s">
        <v>360</v>
      </c>
      <c r="D75" s="117"/>
      <c r="E75" s="116">
        <f t="array" ref="E75">INDEX(NLAB,MATCH(G75,FECHAS,0))-INDEX(NLAB,MATCH(F75,FECHAS,0))+1</f>
        <v>199</v>
      </c>
      <c r="F75" s="118">
        <f>MIN(F76:F82)</f>
        <v>46326</v>
      </c>
      <c r="G75" s="118">
        <f>MAX(G76:G82)</f>
        <v>46568</v>
      </c>
      <c r="H75" s="119"/>
      <c r="I75" s="117"/>
      <c r="J75" s="116" t="str">
        <f>IF(K75&gt;=1,"Completado",IF(AND(G75&lt;FECHA_ESTADO,K75&lt;1),"Atrasado",IF(K75&gt;0,"En progreso","No iniciado")))</f>
        <v>No iniciado</v>
      </c>
      <c r="K75" s="120">
        <f>IFERROR(SUMPRODUCT(--(C76:C82=""),E76:E82,K76:K82)/SUMPRODUCT(--(C76:C82=""),E76:E82),0)</f>
        <v>0</v>
      </c>
      <c r="L75" s="116"/>
      <c r="M75" s="116"/>
      <c r="N75" s="116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</row>
    <row r="76" ht="15.75" customHeight="1" outlineLevel="3">
      <c r="A76" s="91" t="s">
        <v>188</v>
      </c>
      <c r="B76" s="91" t="s">
        <v>361</v>
      </c>
      <c r="C76" s="11"/>
      <c r="D76" s="11" t="s">
        <v>362</v>
      </c>
      <c r="E76" s="92">
        <v>5.0</v>
      </c>
      <c r="F76" s="94">
        <f t="array" ref="F76">INDEX(FECHAS,MATCH(INDEX(NLAB,MATCH($G$47,FECHAS,0))+1,NLAB,0))</f>
        <v>46326</v>
      </c>
      <c r="G76" s="94">
        <f t="array" ref="G76">IF(E76=0,F76,INDEX(FECHAS,MATCH(INDEX(NLAB,MATCH(F76,FECHAS,0))+E76-1,NLAB,0)))</f>
        <v>46331</v>
      </c>
      <c r="H76" s="22" t="s">
        <v>165</v>
      </c>
      <c r="I76" s="11" t="s">
        <v>363</v>
      </c>
      <c r="J76" s="91" t="str">
        <f>IF(K76&gt;=1,"Completado",IF(G76&lt;FECHA_ESTADO,"Atrasado",IF(K76&gt;0,"En progreso","No iniciado")))</f>
        <v>No iniciado</v>
      </c>
      <c r="K76" s="95">
        <v>0.0</v>
      </c>
      <c r="L76" s="91">
        <f t="array" ref="L76">INDEX(NLAB,MATCH($F$77,FECHAS,0))-1-INDEX(NLAB,MATCH(G76,FECHAS,0))</f>
        <v>0</v>
      </c>
      <c r="M76" s="91">
        <v>0.0</v>
      </c>
      <c r="N76" s="91" t="str">
        <f t="shared" ref="N76:N81" si="60">IF(M76&lt;=0,"Sí","No")</f>
        <v>Sí</v>
      </c>
      <c r="V76" s="41"/>
      <c r="W76" s="41"/>
    </row>
    <row r="77" ht="15.75" customHeight="1" outlineLevel="3">
      <c r="A77" s="91" t="s">
        <v>188</v>
      </c>
      <c r="B77" s="91" t="s">
        <v>170</v>
      </c>
      <c r="C77" s="11"/>
      <c r="D77" s="11" t="s">
        <v>364</v>
      </c>
      <c r="E77" s="92">
        <v>1.0</v>
      </c>
      <c r="F77" s="93">
        <v>46332.0</v>
      </c>
      <c r="G77" s="94">
        <f t="array" ref="G77">IF(E77=0,F77,INDEX(FECHAS,MATCH(INDEX(NLAB,MATCH(F77,FECHAS,0))+E77-1,NLAB,0)))</f>
        <v>46332</v>
      </c>
      <c r="H77" s="22" t="s">
        <v>365</v>
      </c>
      <c r="I77" s="11" t="s">
        <v>266</v>
      </c>
      <c r="J77" s="91" t="str">
        <f>IF(K77&gt;=1,"Completado",IF(G77&lt;FECHA_ESTADO,"Atrasado",IF(K77&gt;0,"En progreso","No iniciado")))</f>
        <v>No iniciado</v>
      </c>
      <c r="K77" s="95">
        <v>0.0</v>
      </c>
      <c r="L77" s="91">
        <f t="array" ref="L77">MIN(INDEX(NLAB,MATCH($F$78,FECHAS,0))-1,INDEX(NLAB,MATCH($F$79,FECHAS,0))-1,INDEX(NLAB,MATCH($F$92,FECHAS,0))-1,INDEX(NLAB,MATCH(DATE(2026,11,6),FECHAS,0)))-INDEX(NLAB,MATCH(G77,FECHAS,0))</f>
        <v>0</v>
      </c>
      <c r="M77" s="91">
        <v>0.0</v>
      </c>
      <c r="N77" s="91" t="str">
        <f t="shared" si="60"/>
        <v>Sí</v>
      </c>
      <c r="W77" s="41"/>
    </row>
    <row r="78" ht="27.0" customHeight="1" outlineLevel="3">
      <c r="A78" s="91" t="s">
        <v>188</v>
      </c>
      <c r="B78" s="91" t="s">
        <v>366</v>
      </c>
      <c r="C78" s="11"/>
      <c r="D78" s="11" t="s">
        <v>367</v>
      </c>
      <c r="E78" s="92">
        <v>56.0</v>
      </c>
      <c r="F78" s="94">
        <f t="array" ref="F78">INDEX(FECHAS,MATCH(INDEX(NLAB,MATCH($G$77,FECHAS,0))+1,NLAB,0))</f>
        <v>46333</v>
      </c>
      <c r="G78" s="94">
        <f t="array" ref="G78">IF(E78=0,F78,INDEX(FECHAS,MATCH(INDEX(NLAB,MATCH(F78,FECHAS,0))+E78-1,NLAB,0)))</f>
        <v>46402</v>
      </c>
      <c r="H78" s="22" t="s">
        <v>170</v>
      </c>
      <c r="I78" s="11" t="s">
        <v>351</v>
      </c>
      <c r="J78" s="91" t="str">
        <f>IF(K78&gt;=1,"Completado",IF(G78&lt;FECHA_ESTADO,"Atrasado",IF(K78&gt;0,"En progreso","No iniciado")))</f>
        <v>No iniciado</v>
      </c>
      <c r="K78" s="95">
        <v>0.0</v>
      </c>
      <c r="L78" s="91">
        <f t="array" ref="L78">INDEX(NLAB,MATCH($F$80,FECHAS,0))-1-INDEX(NLAB,MATCH(G78,FECHAS,0))</f>
        <v>0</v>
      </c>
      <c r="M78" s="91">
        <v>0.0</v>
      </c>
      <c r="N78" s="91" t="str">
        <f t="shared" si="60"/>
        <v>Sí</v>
      </c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</row>
    <row r="79" ht="27.0" customHeight="1" outlineLevel="3">
      <c r="A79" s="91" t="s">
        <v>188</v>
      </c>
      <c r="B79" s="91" t="s">
        <v>368</v>
      </c>
      <c r="C79" s="11"/>
      <c r="D79" s="11" t="s">
        <v>369</v>
      </c>
      <c r="E79" s="92">
        <v>10.0</v>
      </c>
      <c r="F79" s="94">
        <f t="array" ref="F79">INDEX(FECHAS,MATCH(INDEX(NLAB,MATCH($G$77,FECHAS,0))+1,NLAB,0))</f>
        <v>46333</v>
      </c>
      <c r="G79" s="94">
        <f t="array" ref="G79">IF(E79=0,F79,INDEX(FECHAS,MATCH(INDEX(NLAB,MATCH(F79,FECHAS,0))+E79-1,NLAB,0)))</f>
        <v>46344</v>
      </c>
      <c r="H79" s="22" t="s">
        <v>370</v>
      </c>
      <c r="I79" s="11" t="s">
        <v>351</v>
      </c>
      <c r="J79" s="91" t="str">
        <f>IF(K79&gt;=1,"Completado",IF(G79&lt;FECHA_ESTADO,"Atrasado",IF(K79&gt;0,"En progreso","No iniciado")))</f>
        <v>No iniciado</v>
      </c>
      <c r="K79" s="95">
        <v>0.0</v>
      </c>
      <c r="L79" s="91">
        <f t="array" ref="L79">INDEX(NLAB,MATCH($F$287,FECHAS,0))-1-INDEX(NLAB,MATCH(G79,FECHAS,0))</f>
        <v>35</v>
      </c>
      <c r="M79" s="91">
        <v>35.0</v>
      </c>
      <c r="N79" s="91" t="str">
        <f t="shared" si="60"/>
        <v>No</v>
      </c>
      <c r="W79" s="41"/>
      <c r="X79" s="41"/>
      <c r="Y79" s="41"/>
    </row>
    <row r="80" ht="27.0" customHeight="1" outlineLevel="3">
      <c r="A80" s="91" t="s">
        <v>188</v>
      </c>
      <c r="B80" s="91" t="s">
        <v>371</v>
      </c>
      <c r="C80" s="11"/>
      <c r="D80" s="11" t="s">
        <v>372</v>
      </c>
      <c r="E80" s="92">
        <v>5.0</v>
      </c>
      <c r="F80" s="94">
        <f t="array" ref="F80">INDEX(FECHAS,MATCH(INDEX(NLAB,MATCH($G$78,FECHAS,0))+1,NLAB,0))</f>
        <v>46403</v>
      </c>
      <c r="G80" s="94">
        <f t="array" ref="G80">IF(E80=0,F80,INDEX(FECHAS,MATCH(INDEX(NLAB,MATCH(F80,FECHAS,0))+E80-1,NLAB,0)))</f>
        <v>46408</v>
      </c>
      <c r="H80" s="22" t="s">
        <v>366</v>
      </c>
      <c r="I80" s="11" t="s">
        <v>351</v>
      </c>
      <c r="J80" s="91" t="str">
        <f>IF(K80&gt;=1,"Completado",IF(G80&lt;FECHA_ESTADO,"Atrasado",IF(K80&gt;0,"En progreso","No iniciado")))</f>
        <v>No iniciado</v>
      </c>
      <c r="K80" s="95">
        <v>0.0</v>
      </c>
      <c r="L80" s="91">
        <f t="array" ref="L80">INDEX(NLAB,MATCH($F$81,FECHAS,0))-1-INDEX(NLAB,MATCH(G80,FECHAS,0))</f>
        <v>0</v>
      </c>
      <c r="M80" s="91">
        <v>0.0</v>
      </c>
      <c r="N80" s="91" t="str">
        <f t="shared" si="60"/>
        <v>Sí</v>
      </c>
      <c r="AG80" s="41"/>
      <c r="AH80" s="41"/>
    </row>
    <row r="81" ht="27.0" customHeight="1" outlineLevel="3">
      <c r="A81" s="91" t="s">
        <v>188</v>
      </c>
      <c r="B81" s="91" t="s">
        <v>179</v>
      </c>
      <c r="C81" s="11"/>
      <c r="D81" s="11" t="s">
        <v>373</v>
      </c>
      <c r="E81" s="92">
        <v>1.0</v>
      </c>
      <c r="F81" s="93">
        <v>46409.0</v>
      </c>
      <c r="G81" s="94">
        <f t="array" ref="G81">IF(E81=0,F81,INDEX(FECHAS,MATCH(INDEX(NLAB,MATCH(F81,FECHAS,0))+E81-1,NLAB,0)))</f>
        <v>46409</v>
      </c>
      <c r="H81" s="22" t="s">
        <v>371</v>
      </c>
      <c r="I81" s="11" t="s">
        <v>374</v>
      </c>
      <c r="J81" s="91" t="str">
        <f>IF(K81&gt;=1,"Completado",IF(G81&lt;FECHA_ESTADO,"Atrasado",IF(K81&gt;0,"En progreso","No iniciado")))</f>
        <v>No iniciado</v>
      </c>
      <c r="K81" s="95">
        <v>0.0</v>
      </c>
      <c r="L81" s="91">
        <f t="array" ref="L81">MIN(INDEX(NLAB,MATCH($F$84,FECHAS,0))-1,INDEX(NLAB,MATCH($F$261,FECHAS,0))-1,INDEX(NLAB,MATCH($F$290,FECHAS,0))-1,INDEX(NLAB,MATCH(DATE(2027,1,22),FECHAS,0)))-INDEX(NLAB,MATCH(G81,FECHAS,0))</f>
        <v>0</v>
      </c>
      <c r="M81" s="91">
        <v>0.0</v>
      </c>
      <c r="N81" s="91" t="str">
        <f t="shared" si="60"/>
        <v>Sí</v>
      </c>
      <c r="AH81" s="41"/>
    </row>
    <row r="82" ht="27.0" customHeight="1" outlineLevel="3">
      <c r="A82" s="91" t="s">
        <v>188</v>
      </c>
      <c r="B82" s="91" t="s">
        <v>375</v>
      </c>
      <c r="C82" s="11"/>
      <c r="D82" s="11" t="s">
        <v>376</v>
      </c>
      <c r="E82" s="91">
        <f t="array" ref="E82">INDEX(NLAB,MATCH(G82,FECHAS,0))-INDEX(NLAB,MATCH(F82,FECHAS,0))+1</f>
        <v>131</v>
      </c>
      <c r="F82" s="121">
        <v>46410.0</v>
      </c>
      <c r="G82" s="121">
        <v>46568.0</v>
      </c>
      <c r="H82" s="22" t="s">
        <v>179</v>
      </c>
      <c r="I82" s="11" t="s">
        <v>330</v>
      </c>
      <c r="J82" s="91" t="str">
        <f>IF(K82&gt;=1,"Completado",IF(G82&lt;FECHA_ESTADO,"Atrasado",IF(K82&gt;0,"En progreso","No iniciado")))</f>
        <v>No iniciado</v>
      </c>
      <c r="K82" s="95">
        <v>0.0</v>
      </c>
      <c r="L82" s="122" t="s">
        <v>148</v>
      </c>
      <c r="M82" s="122" t="s">
        <v>148</v>
      </c>
      <c r="N82" s="91" t="s">
        <v>377</v>
      </c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</row>
    <row r="83" ht="15.75" customHeight="1" outlineLevel="2">
      <c r="A83" s="116" t="s">
        <v>188</v>
      </c>
      <c r="B83" s="116" t="s">
        <v>378</v>
      </c>
      <c r="C83" s="117" t="s">
        <v>379</v>
      </c>
      <c r="D83" s="117"/>
      <c r="E83" s="116">
        <f t="array" ref="E83">INDEX(NLAB,MATCH(G83,FECHAS,0))-INDEX(NLAB,MATCH(F83,FECHAS,0))+1</f>
        <v>8</v>
      </c>
      <c r="F83" s="118">
        <f>MIN(F84:F85)</f>
        <v>46410</v>
      </c>
      <c r="G83" s="118">
        <f>MAX(G84:G85)</f>
        <v>46419</v>
      </c>
      <c r="H83" s="119"/>
      <c r="I83" s="117"/>
      <c r="J83" s="116" t="str">
        <f>IF(K83&gt;=1,"Completado",IF(AND(G83&lt;FECHA_ESTADO,K83&lt;1),"Atrasado",IF(K83&gt;0,"En progreso","No iniciado")))</f>
        <v>No iniciado</v>
      </c>
      <c r="K83" s="120">
        <f>IFERROR(SUMPRODUCT(--(C84:C85=""),E84:E85,K84:K85)/SUMPRODUCT(--(C84:C85=""),E84:E85),0)</f>
        <v>0</v>
      </c>
      <c r="L83" s="116"/>
      <c r="M83" s="116"/>
      <c r="N83" s="116"/>
      <c r="AH83" s="41"/>
      <c r="AI83" s="41"/>
      <c r="AJ83" s="41"/>
    </row>
    <row r="84" ht="15.75" customHeight="1" outlineLevel="3">
      <c r="A84" s="91" t="s">
        <v>188</v>
      </c>
      <c r="B84" s="91" t="s">
        <v>380</v>
      </c>
      <c r="C84" s="11"/>
      <c r="D84" s="11" t="s">
        <v>381</v>
      </c>
      <c r="E84" s="92">
        <v>6.0</v>
      </c>
      <c r="F84" s="94">
        <f t="array" ref="F84">INDEX(FECHAS,MATCH(INDEX(NLAB,MATCH($G$81,FECHAS,0))+1,NLAB,0))</f>
        <v>46410</v>
      </c>
      <c r="G84" s="94">
        <f t="array" ref="G84">IF(E84=0,F84,INDEX(FECHAS,MATCH(INDEX(NLAB,MATCH(F84,FECHAS,0))+E84-1,NLAB,0)))</f>
        <v>46416</v>
      </c>
      <c r="H84" s="22" t="s">
        <v>179</v>
      </c>
      <c r="I84" s="11" t="s">
        <v>312</v>
      </c>
      <c r="J84" s="91" t="str">
        <f>IF(K84&gt;=1,"Completado",IF(G84&lt;FECHA_ESTADO,"Atrasado",IF(K84&gt;0,"En progreso","No iniciado")))</f>
        <v>No iniciado</v>
      </c>
      <c r="K84" s="95">
        <v>0.0</v>
      </c>
      <c r="L84" s="91">
        <f t="array" ref="L84">INDEX(NLAB,MATCH($F$85,FECHAS,0))-1-INDEX(NLAB,MATCH(G84,FECHAS,0))</f>
        <v>0</v>
      </c>
      <c r="M84" s="91">
        <v>29.0</v>
      </c>
      <c r="N84" s="91" t="str">
        <f t="shared" ref="N84:N85" si="61">IF(M84&lt;=0,"Sí","No")</f>
        <v>No</v>
      </c>
      <c r="AH84" s="41"/>
      <c r="AI84" s="41"/>
    </row>
    <row r="85" ht="15.75" customHeight="1" outlineLevel="3">
      <c r="A85" s="91" t="s">
        <v>188</v>
      </c>
      <c r="B85" s="91" t="s">
        <v>382</v>
      </c>
      <c r="C85" s="11"/>
      <c r="D85" s="11" t="s">
        <v>383</v>
      </c>
      <c r="E85" s="92">
        <v>2.0</v>
      </c>
      <c r="F85" s="94">
        <f t="array" ref="F85">INDEX(FECHAS,MATCH(INDEX(NLAB,MATCH($G$84,FECHAS,0))+1,NLAB,0))</f>
        <v>46417</v>
      </c>
      <c r="G85" s="94">
        <f t="array" ref="G85">IF(E85=0,F85,INDEX(FECHAS,MATCH(INDEX(NLAB,MATCH(F85,FECHAS,0))+E85-1,NLAB,0)))</f>
        <v>46419</v>
      </c>
      <c r="H85" s="22" t="s">
        <v>380</v>
      </c>
      <c r="I85" s="11" t="s">
        <v>346</v>
      </c>
      <c r="J85" s="91" t="str">
        <f>IF(K85&gt;=1,"Completado",IF(G85&lt;FECHA_ESTADO,"Atrasado",IF(K85&gt;0,"En progreso","No iniciado")))</f>
        <v>No iniciado</v>
      </c>
      <c r="K85" s="95">
        <v>0.0</v>
      </c>
      <c r="L85" s="91">
        <f t="array" ref="L85">INDEX(NLAB,MATCH($F$87,FECHAS,0))-1-INDEX(NLAB,MATCH(G85,FECHAS,0))</f>
        <v>0</v>
      </c>
      <c r="M85" s="91">
        <v>29.0</v>
      </c>
      <c r="N85" s="91" t="str">
        <f t="shared" si="61"/>
        <v>No</v>
      </c>
      <c r="AI85" s="41"/>
      <c r="AJ85" s="41"/>
    </row>
    <row r="86" outlineLevel="2">
      <c r="A86" s="116" t="s">
        <v>188</v>
      </c>
      <c r="B86" s="116" t="s">
        <v>384</v>
      </c>
      <c r="C86" s="117" t="s">
        <v>385</v>
      </c>
      <c r="D86" s="117"/>
      <c r="E86" s="116">
        <f t="array" ref="E86">INDEX(NLAB,MATCH(G86,FECHAS,0))-INDEX(NLAB,MATCH(F86,FECHAS,0))+1</f>
        <v>15</v>
      </c>
      <c r="F86" s="118">
        <f>MIN(F87:F89)</f>
        <v>46420</v>
      </c>
      <c r="G86" s="118">
        <f>MAX(G87:G89)</f>
        <v>46436</v>
      </c>
      <c r="H86" s="119"/>
      <c r="I86" s="117"/>
      <c r="J86" s="116" t="str">
        <f>IF(K86&gt;=1,"Completado",IF(AND(G86&lt;FECHA_ESTADO,K86&lt;1),"Atrasado",IF(K86&gt;0,"En progreso","No iniciado")))</f>
        <v>No iniciado</v>
      </c>
      <c r="K86" s="120">
        <f>IFERROR(SUMPRODUCT(--(C87:C89=""),E87:E89,K87:K89)/SUMPRODUCT(--(C87:C89=""),E87:E89),0)</f>
        <v>0</v>
      </c>
      <c r="L86" s="116"/>
      <c r="M86" s="116"/>
      <c r="N86" s="116"/>
      <c r="AJ86" s="41"/>
      <c r="AK86" s="41"/>
      <c r="AL86" s="41"/>
    </row>
    <row r="87" ht="15.75" customHeight="1" outlineLevel="3">
      <c r="A87" s="91" t="s">
        <v>188</v>
      </c>
      <c r="B87" s="91" t="s">
        <v>386</v>
      </c>
      <c r="C87" s="11"/>
      <c r="D87" s="11" t="s">
        <v>387</v>
      </c>
      <c r="E87" s="92">
        <v>2.0</v>
      </c>
      <c r="F87" s="94">
        <f t="array" ref="F87">INDEX(FECHAS,MATCH(INDEX(NLAB,MATCH($G$85,FECHAS,0))+1,NLAB,0))</f>
        <v>46420</v>
      </c>
      <c r="G87" s="94">
        <f t="array" ref="G87">IF(E87=0,F87,INDEX(FECHAS,MATCH(INDEX(NLAB,MATCH(F87,FECHAS,0))+E87-1,NLAB,0)))</f>
        <v>46421</v>
      </c>
      <c r="H87" s="22" t="s">
        <v>382</v>
      </c>
      <c r="I87" s="11" t="s">
        <v>330</v>
      </c>
      <c r="J87" s="91" t="str">
        <f>IF(K87&gt;=1,"Completado",IF(G87&lt;FECHA_ESTADO,"Atrasado",IF(K87&gt;0,"En progreso","No iniciado")))</f>
        <v>No iniciado</v>
      </c>
      <c r="K87" s="95">
        <v>0.0</v>
      </c>
      <c r="L87" s="91">
        <f t="array" ref="L87">INDEX(NLAB,MATCH($F$88,FECHAS,0))-1-INDEX(NLAB,MATCH(G87,FECHAS,0))</f>
        <v>0</v>
      </c>
      <c r="M87" s="91">
        <v>29.0</v>
      </c>
      <c r="N87" s="91" t="str">
        <f t="shared" ref="N87:N89" si="62">IF(M87&lt;=0,"Sí","No")</f>
        <v>No</v>
      </c>
      <c r="AJ87" s="41"/>
    </row>
    <row r="88" ht="15.75" customHeight="1" outlineLevel="3">
      <c r="A88" s="91" t="s">
        <v>188</v>
      </c>
      <c r="B88" s="91" t="s">
        <v>388</v>
      </c>
      <c r="C88" s="11"/>
      <c r="D88" s="11" t="s">
        <v>389</v>
      </c>
      <c r="E88" s="92">
        <v>12.0</v>
      </c>
      <c r="F88" s="94">
        <f t="array" ref="F88">INDEX(FECHAS,MATCH(INDEX(NLAB,MATCH($G$87,FECHAS,0))+1,NLAB,0))</f>
        <v>46422</v>
      </c>
      <c r="G88" s="94">
        <f t="array" ref="G88">IF(E88=0,F88,INDEX(FECHAS,MATCH(INDEX(NLAB,MATCH(F88,FECHAS,0))+E88-1,NLAB,0)))</f>
        <v>46435</v>
      </c>
      <c r="H88" s="22" t="s">
        <v>386</v>
      </c>
      <c r="I88" s="11" t="s">
        <v>390</v>
      </c>
      <c r="J88" s="91" t="str">
        <f>IF(K88&gt;=1,"Completado",IF(G88&lt;FECHA_ESTADO,"Atrasado",IF(K88&gt;0,"En progreso","No iniciado")))</f>
        <v>No iniciado</v>
      </c>
      <c r="K88" s="95">
        <v>0.0</v>
      </c>
      <c r="L88" s="91">
        <f t="array" ref="L88">INDEX(NLAB,MATCH($F$89,FECHAS,0))-1-INDEX(NLAB,MATCH(G88,FECHAS,0))</f>
        <v>0</v>
      </c>
      <c r="M88" s="91">
        <v>29.0</v>
      </c>
      <c r="N88" s="91" t="str">
        <f t="shared" si="62"/>
        <v>No</v>
      </c>
      <c r="AJ88" s="41"/>
      <c r="AK88" s="41"/>
      <c r="AL88" s="41"/>
    </row>
    <row r="89" ht="27.0" customHeight="1" outlineLevel="3">
      <c r="A89" s="91" t="s">
        <v>188</v>
      </c>
      <c r="B89" s="91" t="s">
        <v>391</v>
      </c>
      <c r="C89" s="11"/>
      <c r="D89" s="11" t="s">
        <v>392</v>
      </c>
      <c r="E89" s="92">
        <v>1.0</v>
      </c>
      <c r="F89" s="94">
        <f t="array" ref="F89">INDEX(FECHAS,MATCH(INDEX(NLAB,MATCH($G$88,FECHAS,0))+1,NLAB,0))</f>
        <v>46436</v>
      </c>
      <c r="G89" s="94">
        <f t="array" ref="G89">IF(E89=0,F89,INDEX(FECHAS,MATCH(INDEX(NLAB,MATCH(F89,FECHAS,0))+E89-1,NLAB,0)))</f>
        <v>46436</v>
      </c>
      <c r="H89" s="22" t="s">
        <v>388</v>
      </c>
      <c r="I89" s="11" t="s">
        <v>300</v>
      </c>
      <c r="J89" s="91" t="str">
        <f>IF(K89&gt;=1,"Completado",IF(G89&lt;FECHA_ESTADO,"Atrasado",IF(K89&gt;0,"En progreso","No iniciado")))</f>
        <v>No iniciado</v>
      </c>
      <c r="K89" s="95">
        <v>0.0</v>
      </c>
      <c r="L89" s="91">
        <f t="array" ref="L89">MIN(INDEX(NLAB,MATCH($F$214,FECHAS,0))-1,INDEX(NLAB,MATCH($F$241,FECHAS,0))-1,INDEX(NLAB,MATCH($F$270,FECHAS,0))-1,INDEX(NLAB,MATCH($F$302,FECHAS,0))-1)-INDEX(NLAB,MATCH(G89,FECHAS,0))</f>
        <v>29</v>
      </c>
      <c r="M89" s="91">
        <v>29.0</v>
      </c>
      <c r="N89" s="91" t="str">
        <f t="shared" si="62"/>
        <v>No</v>
      </c>
      <c r="AL89" s="41"/>
    </row>
    <row r="90" ht="15.75" customHeight="1" outlineLevel="1">
      <c r="A90" s="111" t="s">
        <v>188</v>
      </c>
      <c r="B90" s="111" t="s">
        <v>393</v>
      </c>
      <c r="C90" s="112" t="s">
        <v>394</v>
      </c>
      <c r="D90" s="112"/>
      <c r="E90" s="111">
        <f t="array" ref="E90">INDEX(NLAB,MATCH(G90,FECHAS,0))-INDEX(NLAB,MATCH(F90,FECHAS,0))+1</f>
        <v>220</v>
      </c>
      <c r="F90" s="113">
        <f>MIN(F91:F103)</f>
        <v>46333</v>
      </c>
      <c r="G90" s="113">
        <f>MAX(G91:G103)</f>
        <v>46603</v>
      </c>
      <c r="H90" s="114"/>
      <c r="I90" s="112"/>
      <c r="J90" s="111" t="str">
        <f>IF(K90&gt;=1,"Completado",IF(AND(G90&lt;FECHA_ESTADO,K90&lt;1),"Atrasado",IF(K90&gt;0,"En progreso","No iniciado")))</f>
        <v>No iniciado</v>
      </c>
      <c r="K90" s="115">
        <f>IFERROR(SUMPRODUCT(--(C91:C103=""),E91:E103,K91:K103)/SUMPRODUCT(--(C91:C103=""),E91:E103),0)</f>
        <v>0</v>
      </c>
      <c r="L90" s="111"/>
      <c r="M90" s="111"/>
      <c r="N90" s="11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</row>
    <row r="91" ht="15.75" customHeight="1" outlineLevel="2">
      <c r="A91" s="116" t="s">
        <v>188</v>
      </c>
      <c r="B91" s="116" t="s">
        <v>395</v>
      </c>
      <c r="C91" s="117" t="s">
        <v>396</v>
      </c>
      <c r="D91" s="117"/>
      <c r="E91" s="116">
        <f t="array" ref="E91">INDEX(NLAB,MATCH(G91,FECHAS,0))-INDEX(NLAB,MATCH(F91,FECHAS,0))+1</f>
        <v>220</v>
      </c>
      <c r="F91" s="118">
        <f>MIN(F92:F97)</f>
        <v>46333</v>
      </c>
      <c r="G91" s="118">
        <f>MAX(G92:G97)</f>
        <v>46603</v>
      </c>
      <c r="H91" s="119"/>
      <c r="I91" s="117"/>
      <c r="J91" s="116" t="str">
        <f>IF(K91&gt;=1,"Completado",IF(AND(G91&lt;FECHA_ESTADO,K91&lt;1),"Atrasado",IF(K91&gt;0,"En progreso","No iniciado")))</f>
        <v>No iniciado</v>
      </c>
      <c r="K91" s="120">
        <f>IFERROR(SUMPRODUCT(--(C92:C97=""),E92:E97,K92:K97)/SUMPRODUCT(--(C92:C97=""),E92:E97),0)</f>
        <v>0</v>
      </c>
      <c r="L91" s="116"/>
      <c r="M91" s="116"/>
      <c r="N91" s="116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</row>
    <row r="92" ht="15.75" customHeight="1" outlineLevel="3">
      <c r="A92" s="91" t="s">
        <v>188</v>
      </c>
      <c r="B92" s="91" t="s">
        <v>397</v>
      </c>
      <c r="C92" s="11"/>
      <c r="D92" s="11" t="s">
        <v>398</v>
      </c>
      <c r="E92" s="92">
        <v>8.0</v>
      </c>
      <c r="F92" s="94">
        <f t="array" ref="F92">INDEX(FECHAS,MATCH(INDEX(NLAB,MATCH($G$77,FECHAS,0))+1,NLAB,0))</f>
        <v>46333</v>
      </c>
      <c r="G92" s="94">
        <f t="array" ref="G92">IF(E92=0,F92,INDEX(FECHAS,MATCH(INDEX(NLAB,MATCH(F92,FECHAS,0))+E92-1,NLAB,0)))</f>
        <v>46342</v>
      </c>
      <c r="H92" s="22" t="s">
        <v>170</v>
      </c>
      <c r="I92" s="11" t="s">
        <v>312</v>
      </c>
      <c r="J92" s="91" t="str">
        <f>IF(K92&gt;=1,"Completado",IF(G92&lt;FECHA_ESTADO,"Atrasado",IF(K92&gt;0,"En progreso","No iniciado")))</f>
        <v>No iniciado</v>
      </c>
      <c r="K92" s="95">
        <v>0.0</v>
      </c>
      <c r="L92" s="91">
        <f t="array" ref="L92">MIN(INDEX(NLAB,MATCH($F$93,FECHAS,0))-1,INDEX(NLAB,MATCH($F$95,FECHAS,0))-1)-INDEX(NLAB,MATCH(G92,FECHAS,0))</f>
        <v>37</v>
      </c>
      <c r="M92" s="91">
        <v>47.0</v>
      </c>
      <c r="N92" s="91" t="str">
        <f t="shared" ref="N92:N97" si="63">IF(M92&lt;=0,"Sí","No")</f>
        <v>No</v>
      </c>
      <c r="W92" s="41"/>
      <c r="X92" s="41"/>
      <c r="Y92" s="41"/>
    </row>
    <row r="93" ht="27.0" customHeight="1" outlineLevel="3">
      <c r="A93" s="91" t="s">
        <v>188</v>
      </c>
      <c r="B93" s="91" t="s">
        <v>399</v>
      </c>
      <c r="C93" s="11"/>
      <c r="D93" s="11" t="s">
        <v>400</v>
      </c>
      <c r="E93" s="92">
        <v>20.0</v>
      </c>
      <c r="F93" s="121">
        <v>46391.0</v>
      </c>
      <c r="G93" s="94">
        <f t="array" ref="G93">IF(E93=0,F93,INDEX(FECHAS,MATCH(INDEX(NLAB,MATCH(F93,FECHAS,0))+E93-1,NLAB,0)))</f>
        <v>46413</v>
      </c>
      <c r="H93" s="22" t="s">
        <v>397</v>
      </c>
      <c r="I93" s="11" t="s">
        <v>401</v>
      </c>
      <c r="J93" s="91" t="str">
        <f>IF(K93&gt;=1,"Completado",IF(G93&lt;FECHA_ESTADO,"Atrasado",IF(K93&gt;0,"En progreso","No iniciado")))</f>
        <v>No iniciado</v>
      </c>
      <c r="K93" s="95">
        <v>0.0</v>
      </c>
      <c r="L93" s="91">
        <f t="array" ref="L93">INDEX(NLAB,MATCH($F$94,FECHAS,0))-1-INDEX(NLAB,MATCH(G93,FECHAS,0))</f>
        <v>0</v>
      </c>
      <c r="M93" s="91">
        <v>10.0</v>
      </c>
      <c r="N93" s="91" t="str">
        <f t="shared" si="63"/>
        <v>No</v>
      </c>
      <c r="AF93" s="41"/>
      <c r="AG93" s="41"/>
      <c r="AH93" s="41"/>
      <c r="AI93" s="41"/>
    </row>
    <row r="94" ht="27.0" customHeight="1" outlineLevel="3">
      <c r="A94" s="91" t="s">
        <v>188</v>
      </c>
      <c r="B94" s="91" t="s">
        <v>402</v>
      </c>
      <c r="C94" s="11"/>
      <c r="D94" s="11" t="s">
        <v>403</v>
      </c>
      <c r="E94" s="92">
        <v>6.0</v>
      </c>
      <c r="F94" s="94">
        <f t="array" ref="F94">INDEX(FECHAS,MATCH(INDEX(NLAB,MATCH($G$93,FECHAS,0))+1,NLAB,0))</f>
        <v>46414</v>
      </c>
      <c r="G94" s="94">
        <f t="array" ref="G94">IF(E94=0,F94,INDEX(FECHAS,MATCH(INDEX(NLAB,MATCH(F94,FECHAS,0))+E94-1,NLAB,0)))</f>
        <v>46420</v>
      </c>
      <c r="H94" s="22" t="s">
        <v>399</v>
      </c>
      <c r="I94" s="11" t="s">
        <v>404</v>
      </c>
      <c r="J94" s="91" t="str">
        <f>IF(K94&gt;=1,"Completado",IF(G94&lt;FECHA_ESTADO,"Atrasado",IF(K94&gt;0,"En progreso","No iniciado")))</f>
        <v>No iniciado</v>
      </c>
      <c r="K94" s="95">
        <v>0.0</v>
      </c>
      <c r="L94" s="91">
        <f t="array" ref="L94">INDEX(NLAB,MATCH($F$96,FECHAS,0))-1-INDEX(NLAB,MATCH(G94,FECHAS,0))</f>
        <v>10</v>
      </c>
      <c r="M94" s="91">
        <v>10.0</v>
      </c>
      <c r="N94" s="91" t="str">
        <f t="shared" si="63"/>
        <v>No</v>
      </c>
      <c r="AI94" s="41"/>
      <c r="AJ94" s="41"/>
    </row>
    <row r="95" ht="27.0" customHeight="1" outlineLevel="3">
      <c r="A95" s="91" t="s">
        <v>188</v>
      </c>
      <c r="B95" s="91" t="s">
        <v>405</v>
      </c>
      <c r="C95" s="11"/>
      <c r="D95" s="11" t="s">
        <v>406</v>
      </c>
      <c r="E95" s="92">
        <v>8.0</v>
      </c>
      <c r="F95" s="121">
        <v>46419.0</v>
      </c>
      <c r="G95" s="94">
        <f t="array" ref="G95">IF(E95=0,F95,INDEX(FECHAS,MATCH(INDEX(NLAB,MATCH(F95,FECHAS,0))+E95-1,NLAB,0)))</f>
        <v>46427</v>
      </c>
      <c r="H95" s="22" t="s">
        <v>407</v>
      </c>
      <c r="I95" s="11" t="s">
        <v>312</v>
      </c>
      <c r="J95" s="91" t="str">
        <f>IF(K95&gt;=1,"Completado",IF(G95&lt;FECHA_ESTADO,"Atrasado",IF(K95&gt;0,"En progreso","No iniciado")))</f>
        <v>No iniciado</v>
      </c>
      <c r="K95" s="95">
        <v>0.0</v>
      </c>
      <c r="L95" s="91">
        <f t="array" ref="L95">INDEX(NLAB,MATCH($F$96,FECHAS,0))-1-INDEX(NLAB,MATCH(G95,FECHAS,0))</f>
        <v>4</v>
      </c>
      <c r="M95" s="91">
        <v>4.0</v>
      </c>
      <c r="N95" s="91" t="str">
        <f t="shared" si="63"/>
        <v>No</v>
      </c>
      <c r="AJ95" s="41"/>
      <c r="AK95" s="41"/>
    </row>
    <row r="96" ht="15.75" customHeight="1" outlineLevel="3">
      <c r="A96" s="91" t="s">
        <v>188</v>
      </c>
      <c r="B96" s="91" t="s">
        <v>187</v>
      </c>
      <c r="C96" s="11"/>
      <c r="D96" s="11" t="s">
        <v>408</v>
      </c>
      <c r="E96" s="92">
        <v>1.0</v>
      </c>
      <c r="F96" s="93">
        <v>46433.0</v>
      </c>
      <c r="G96" s="94">
        <f t="array" ref="G96">IF(E96=0,F96,INDEX(FECHAS,MATCH(INDEX(NLAB,MATCH(F96,FECHAS,0))+E96-1,NLAB,0)))</f>
        <v>46433</v>
      </c>
      <c r="H96" s="22" t="s">
        <v>409</v>
      </c>
      <c r="I96" s="11" t="s">
        <v>410</v>
      </c>
      <c r="J96" s="91" t="str">
        <f>IF(K96&gt;=1,"Completado",IF(G96&lt;FECHA_ESTADO,"Atrasado",IF(K96&gt;0,"En progreso","No iniciado")))</f>
        <v>No iniciado</v>
      </c>
      <c r="K96" s="95">
        <v>0.0</v>
      </c>
      <c r="L96" s="91">
        <f t="array" ref="L96">MIN(INDEX(NLAB,MATCH($F$97,FECHAS,0))-1,INDEX(NLAB,MATCH($F$124,FECHAS,0))-1,INDEX(NLAB,MATCH($F$154,FECHAS,0))-1,INDEX(NLAB,MATCH($F$184,FECHAS,0))-1,INDEX(NLAB,MATCH($F$211,FECHAS,0))-1,INDEX(NLAB,MATCH(DATE(2027,2,15),FECHAS,0)))-INDEX(NLAB,MATCH(G96,FECHAS,0))</f>
        <v>0</v>
      </c>
      <c r="M96" s="91">
        <v>0.0</v>
      </c>
      <c r="N96" s="91" t="str">
        <f t="shared" si="63"/>
        <v>Sí</v>
      </c>
      <c r="AL96" s="41"/>
    </row>
    <row r="97" ht="27.0" customHeight="1" outlineLevel="3">
      <c r="A97" s="91" t="s">
        <v>188</v>
      </c>
      <c r="B97" s="91" t="s">
        <v>411</v>
      </c>
      <c r="C97" s="11"/>
      <c r="D97" s="11" t="s">
        <v>412</v>
      </c>
      <c r="E97" s="92">
        <v>138.0</v>
      </c>
      <c r="F97" s="94">
        <f t="array" ref="F97">INDEX(FECHAS,MATCH(INDEX(NLAB,MATCH($G$96,FECHAS,0))+1,NLAB,0))</f>
        <v>46434</v>
      </c>
      <c r="G97" s="94">
        <f t="array" ref="G97">IF(E97=0,F97,INDEX(FECHAS,MATCH(INDEX(NLAB,MATCH(F97,FECHAS,0))+E97-1,NLAB,0)))</f>
        <v>46603</v>
      </c>
      <c r="H97" s="22" t="s">
        <v>187</v>
      </c>
      <c r="I97" s="11" t="s">
        <v>312</v>
      </c>
      <c r="J97" s="91" t="str">
        <f>IF(K97&gt;=1,"Completado",IF(G97&lt;FECHA_ESTADO,"Atrasado",IF(K97&gt;0,"En progreso","No iniciado")))</f>
        <v>No iniciado</v>
      </c>
      <c r="K97" s="95">
        <v>0.0</v>
      </c>
      <c r="L97" s="91">
        <f t="array" ref="L97">INDEX(NLAB,MATCH(FIN_PROY,FECHAS,0))-INDEX(NLAB,MATCH(G97,FECHAS,0))</f>
        <v>13</v>
      </c>
      <c r="M97" s="91">
        <v>13.0</v>
      </c>
      <c r="N97" s="91" t="str">
        <f t="shared" si="63"/>
        <v>No</v>
      </c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  <c r="BC97" s="41"/>
      <c r="BD97" s="41"/>
      <c r="BE97" s="41"/>
      <c r="BF97" s="41"/>
      <c r="BG97" s="41"/>
      <c r="BH97" s="41"/>
      <c r="BI97" s="41"/>
      <c r="BJ97" s="41"/>
    </row>
    <row r="98" ht="15.75" customHeight="1" outlineLevel="2">
      <c r="A98" s="116" t="s">
        <v>188</v>
      </c>
      <c r="B98" s="116" t="s">
        <v>413</v>
      </c>
      <c r="C98" s="117" t="s">
        <v>414</v>
      </c>
      <c r="D98" s="117"/>
      <c r="E98" s="116">
        <f t="array" ref="E98">INDEX(NLAB,MATCH(G98,FECHAS,0))-INDEX(NLAB,MATCH(F98,FECHAS,0))+1</f>
        <v>104</v>
      </c>
      <c r="F98" s="118">
        <f>MIN(F99:F103)</f>
        <v>46475</v>
      </c>
      <c r="G98" s="118">
        <f>MAX(G99:G103)</f>
        <v>46602</v>
      </c>
      <c r="H98" s="119"/>
      <c r="I98" s="117"/>
      <c r="J98" s="116" t="str">
        <f>IF(K98&gt;=1,"Completado",IF(AND(G98&lt;FECHA_ESTADO,K98&lt;1),"Atrasado",IF(K98&gt;0,"En progreso","No iniciado")))</f>
        <v>No iniciado</v>
      </c>
      <c r="K98" s="120">
        <f>IFERROR(SUMPRODUCT(--(C99:C103=""),E99:E103,K99:K103)/SUMPRODUCT(--(C99:C103=""),E99:E103),0)</f>
        <v>0</v>
      </c>
      <c r="L98" s="116"/>
      <c r="M98" s="116"/>
      <c r="N98" s="116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</row>
    <row r="99" ht="27.0" customHeight="1" outlineLevel="3">
      <c r="A99" s="91" t="s">
        <v>188</v>
      </c>
      <c r="B99" s="91" t="s">
        <v>415</v>
      </c>
      <c r="C99" s="11"/>
      <c r="D99" s="11" t="s">
        <v>416</v>
      </c>
      <c r="E99" s="92">
        <v>2.0</v>
      </c>
      <c r="F99" s="94">
        <f t="array" ref="F99">INDEX(FECHAS,MATCH(INDEX(NLAB,MATCH($G$216,FECHAS,0))+1,NLAB,0))</f>
        <v>46475</v>
      </c>
      <c r="G99" s="94">
        <f t="array" ref="G99">IF(E99=0,F99,INDEX(FECHAS,MATCH(INDEX(NLAB,MATCH(F99,FECHAS,0))+E99-1,NLAB,0)))</f>
        <v>46476</v>
      </c>
      <c r="H99" s="22" t="s">
        <v>196</v>
      </c>
      <c r="I99" s="11" t="s">
        <v>312</v>
      </c>
      <c r="J99" s="91" t="str">
        <f>IF(K99&gt;=1,"Completado",IF(G99&lt;FECHA_ESTADO,"Atrasado",IF(K99&gt;0,"En progreso","No iniciado")))</f>
        <v>No iniciado</v>
      </c>
      <c r="K99" s="95">
        <v>0.0</v>
      </c>
      <c r="L99" s="91">
        <f t="array" ref="L99">MIN(INDEX(NLAB,MATCH($F$318,FECHAS,0))-1,INDEX(NLAB,MATCH($F$325,FECHAS,0))-1)-INDEX(NLAB,MATCH(G99,FECHAS,0))</f>
        <v>0</v>
      </c>
      <c r="M99" s="91">
        <v>1.0</v>
      </c>
      <c r="N99" s="91" t="str">
        <f t="shared" ref="N99:N103" si="64">IF(M99&lt;=0,"Sí","No")</f>
        <v>No</v>
      </c>
      <c r="AR99" s="41"/>
    </row>
    <row r="100" ht="15.75" customHeight="1" outlineLevel="3">
      <c r="A100" s="91" t="s">
        <v>188</v>
      </c>
      <c r="B100" s="91" t="s">
        <v>417</v>
      </c>
      <c r="C100" s="11"/>
      <c r="D100" s="11" t="s">
        <v>418</v>
      </c>
      <c r="E100" s="92">
        <v>2.0</v>
      </c>
      <c r="F100" s="94">
        <f t="array" ref="F100">INDEX(FECHAS,MATCH(INDEX(NLAB,MATCH($G$244,FECHAS,0))+1,NLAB,0))</f>
        <v>46503</v>
      </c>
      <c r="G100" s="94">
        <f t="array" ref="G100">IF(E100=0,F100,INDEX(FECHAS,MATCH(INDEX(NLAB,MATCH(F100,FECHAS,0))+E100-1,NLAB,0)))</f>
        <v>46504</v>
      </c>
      <c r="H100" s="22" t="s">
        <v>204</v>
      </c>
      <c r="I100" s="11" t="s">
        <v>312</v>
      </c>
      <c r="J100" s="91" t="str">
        <f>IF(K100&gt;=1,"Completado",IF(G100&lt;FECHA_ESTADO,"Atrasado",IF(K100&gt;0,"En progreso","No iniciado")))</f>
        <v>No iniciado</v>
      </c>
      <c r="K100" s="95">
        <v>0.0</v>
      </c>
      <c r="L100" s="91">
        <f t="array" ref="L100">MIN(INDEX(NLAB,MATCH($F$320,FECHAS,0))-1,INDEX(NLAB,MATCH($F$328,FECHAS,0))-1)-INDEX(NLAB,MATCH(G100,FECHAS,0))</f>
        <v>0</v>
      </c>
      <c r="M100" s="91">
        <v>1.0</v>
      </c>
      <c r="N100" s="91" t="str">
        <f t="shared" si="64"/>
        <v>No</v>
      </c>
      <c r="AV100" s="41"/>
    </row>
    <row r="101" ht="15.75" customHeight="1" outlineLevel="3">
      <c r="A101" s="91" t="s">
        <v>188</v>
      </c>
      <c r="B101" s="91" t="s">
        <v>419</v>
      </c>
      <c r="C101" s="11"/>
      <c r="D101" s="11" t="s">
        <v>420</v>
      </c>
      <c r="E101" s="92">
        <v>2.0</v>
      </c>
      <c r="F101" s="94">
        <f t="array" ref="F101">INDEX(FECHAS,MATCH(INDEX(NLAB,MATCH($G$272,FECHAS,0))+1,NLAB,0))</f>
        <v>46538</v>
      </c>
      <c r="G101" s="94">
        <f t="array" ref="G101">IF(E101=0,F101,INDEX(FECHAS,MATCH(INDEX(NLAB,MATCH(F101,FECHAS,0))+E101-1,NLAB,0)))</f>
        <v>46539</v>
      </c>
      <c r="H101" s="22" t="s">
        <v>208</v>
      </c>
      <c r="I101" s="11" t="s">
        <v>312</v>
      </c>
      <c r="J101" s="91" t="str">
        <f>IF(K101&gt;=1,"Completado",IF(G101&lt;FECHA_ESTADO,"Atrasado",IF(K101&gt;0,"En progreso","No iniciado")))</f>
        <v>No iniciado</v>
      </c>
      <c r="K101" s="95">
        <v>0.0</v>
      </c>
      <c r="L101" s="91">
        <f t="array" ref="L101">INDEX(NLAB,MATCH($F$331,FECHAS,0))-1-INDEX(NLAB,MATCH(G101,FECHAS,0))</f>
        <v>0</v>
      </c>
      <c r="M101" s="91">
        <v>1.0</v>
      </c>
      <c r="N101" s="91" t="str">
        <f t="shared" si="64"/>
        <v>No</v>
      </c>
      <c r="BA101" s="41"/>
    </row>
    <row r="102" ht="15.75" customHeight="1" outlineLevel="3">
      <c r="A102" s="91" t="s">
        <v>188</v>
      </c>
      <c r="B102" s="91" t="s">
        <v>421</v>
      </c>
      <c r="C102" s="11"/>
      <c r="D102" s="11" t="s">
        <v>422</v>
      </c>
      <c r="E102" s="92">
        <v>2.0</v>
      </c>
      <c r="F102" s="94">
        <f t="array" ref="F102">INDEX(FECHAS,MATCH(INDEX(NLAB,MATCH($G$191,FECHAS,0))+1,NLAB,0))</f>
        <v>46566</v>
      </c>
      <c r="G102" s="94">
        <f t="array" ref="G102">IF(E102=0,F102,INDEX(FECHAS,MATCH(INDEX(NLAB,MATCH(F102,FECHAS,0))+E102-1,NLAB,0)))</f>
        <v>46568</v>
      </c>
      <c r="H102" s="22" t="s">
        <v>212</v>
      </c>
      <c r="I102" s="11" t="s">
        <v>312</v>
      </c>
      <c r="J102" s="91" t="str">
        <f>IF(K102&gt;=1,"Completado",IF(G102&lt;FECHA_ESTADO,"Atrasado",IF(K102&gt;0,"En progreso","No iniciado")))</f>
        <v>No iniciado</v>
      </c>
      <c r="K102" s="95">
        <v>0.0</v>
      </c>
      <c r="L102" s="91">
        <f t="array" ref="L102">INDEX(NLAB,MATCH($F$322,FECHAS,0))-1-INDEX(NLAB,MATCH(G102,FECHAS,0))</f>
        <v>0</v>
      </c>
      <c r="M102" s="91">
        <v>0.0</v>
      </c>
      <c r="N102" s="91" t="str">
        <f t="shared" si="64"/>
        <v>Sí</v>
      </c>
      <c r="BE102" s="41"/>
    </row>
    <row r="103" ht="15.75" customHeight="1" outlineLevel="3">
      <c r="A103" s="91" t="s">
        <v>188</v>
      </c>
      <c r="B103" s="91" t="s">
        <v>423</v>
      </c>
      <c r="C103" s="11"/>
      <c r="D103" s="11" t="s">
        <v>424</v>
      </c>
      <c r="E103" s="92">
        <v>2.0</v>
      </c>
      <c r="F103" s="94">
        <f t="array" ref="F103">INDEX(FECHAS,MATCH(INDEX(NLAB,MATCH($G$304,FECHAS,0))+1,NLAB,0))</f>
        <v>46601</v>
      </c>
      <c r="G103" s="94">
        <f t="array" ref="G103">IF(E103=0,F103,INDEX(FECHAS,MATCH(INDEX(NLAB,MATCH(F103,FECHAS,0))+E103-1,NLAB,0)))</f>
        <v>46602</v>
      </c>
      <c r="H103" s="22" t="s">
        <v>216</v>
      </c>
      <c r="I103" s="11" t="s">
        <v>312</v>
      </c>
      <c r="J103" s="91" t="str">
        <f>IF(K103&gt;=1,"Completado",IF(G103&lt;FECHA_ESTADO,"Atrasado",IF(K103&gt;0,"En progreso","No iniciado")))</f>
        <v>No iniciado</v>
      </c>
      <c r="K103" s="95">
        <v>0.0</v>
      </c>
      <c r="L103" s="91">
        <f t="array" ref="L103">INDEX(NLAB,MATCH($F$334,FECHAS,0))-1-INDEX(NLAB,MATCH(G103,FECHAS,0))</f>
        <v>0</v>
      </c>
      <c r="M103" s="91">
        <v>0.0</v>
      </c>
      <c r="N103" s="91" t="str">
        <f t="shared" si="64"/>
        <v>Sí</v>
      </c>
      <c r="BJ103" s="41"/>
    </row>
    <row r="104" ht="27.0" customHeight="1" outlineLevel="1">
      <c r="A104" s="111" t="s">
        <v>188</v>
      </c>
      <c r="B104" s="111" t="s">
        <v>425</v>
      </c>
      <c r="C104" s="112" t="s">
        <v>426</v>
      </c>
      <c r="D104" s="112"/>
      <c r="E104" s="111">
        <f t="array" ref="E104">INDEX(NLAB,MATCH(G104,FECHAS,0))-INDEX(NLAB,MATCH(F104,FECHAS,0))+1</f>
        <v>110</v>
      </c>
      <c r="F104" s="113">
        <f>MIN(F105:F133)</f>
        <v>46342</v>
      </c>
      <c r="G104" s="113">
        <f>MAX(G105:G133)</f>
        <v>46476</v>
      </c>
      <c r="H104" s="114"/>
      <c r="I104" s="112"/>
      <c r="J104" s="111" t="str">
        <f>IF(K104&gt;=1,"Completado",IF(AND(G104&lt;FECHA_ESTADO,K104&lt;1),"Atrasado",IF(K104&gt;0,"En progreso","No iniciado")))</f>
        <v>No iniciado</v>
      </c>
      <c r="K104" s="115">
        <f>IFERROR(SUMPRODUCT(--(C105:C133=""),E105:E133,K105:K133)/SUMPRODUCT(--(C105:C133=""),E105:E133),0)</f>
        <v>0</v>
      </c>
      <c r="L104" s="111"/>
      <c r="M104" s="111"/>
      <c r="N104" s="11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</row>
    <row r="105" ht="15.75" customHeight="1" outlineLevel="2">
      <c r="A105" s="116" t="s">
        <v>188</v>
      </c>
      <c r="B105" s="116" t="s">
        <v>427</v>
      </c>
      <c r="C105" s="117" t="s">
        <v>428</v>
      </c>
      <c r="D105" s="117"/>
      <c r="E105" s="116">
        <f t="array" ref="E105">INDEX(NLAB,MATCH(G105,FECHAS,0))-INDEX(NLAB,MATCH(F105,FECHAS,0))+1</f>
        <v>21</v>
      </c>
      <c r="F105" s="118">
        <f>MIN(F106:F111)</f>
        <v>46422</v>
      </c>
      <c r="G105" s="118">
        <f>MAX(G106:G111)</f>
        <v>46445</v>
      </c>
      <c r="H105" s="119"/>
      <c r="I105" s="117"/>
      <c r="J105" s="116" t="str">
        <f>IF(K105&gt;=1,"Completado",IF(AND(G105&lt;FECHA_ESTADO,K105&lt;1),"Atrasado",IF(K105&gt;0,"En progreso","No iniciado")))</f>
        <v>No iniciado</v>
      </c>
      <c r="K105" s="120">
        <f>IFERROR(SUMPRODUCT(--(C106:C111=""),E106:E111,K106:K111)/SUMPRODUCT(--(C106:C111=""),E106:E111),0)</f>
        <v>0</v>
      </c>
      <c r="L105" s="116"/>
      <c r="M105" s="116"/>
      <c r="N105" s="116"/>
      <c r="AJ105" s="41"/>
      <c r="AK105" s="41"/>
      <c r="AL105" s="41"/>
      <c r="AM105" s="41"/>
    </row>
    <row r="106" ht="15.75" customHeight="1" outlineLevel="3">
      <c r="A106" s="116" t="s">
        <v>188</v>
      </c>
      <c r="B106" s="116" t="s">
        <v>429</v>
      </c>
      <c r="C106" s="117" t="s">
        <v>430</v>
      </c>
      <c r="D106" s="117"/>
      <c r="E106" s="116">
        <f t="array" ref="E106">INDEX(NLAB,MATCH(G106,FECHAS,0))-INDEX(NLAB,MATCH(F106,FECHAS,0))+1</f>
        <v>6</v>
      </c>
      <c r="F106" s="118">
        <f>MIN(F107)</f>
        <v>46422</v>
      </c>
      <c r="G106" s="118">
        <f>MAX(G107)</f>
        <v>46428</v>
      </c>
      <c r="H106" s="119"/>
      <c r="I106" s="117"/>
      <c r="J106" s="116" t="str">
        <f>IF(K106&gt;=1,"Completado",IF(AND(G106&lt;FECHA_ESTADO,K106&lt;1),"Atrasado",IF(K106&gt;0,"En progreso","No iniciado")))</f>
        <v>No iniciado</v>
      </c>
      <c r="K106" s="120">
        <f>IFERROR(SUMPRODUCT(--(C107=""),E107,K107)/SUMPRODUCT(--(C107=""),E107),0)</f>
        <v>0</v>
      </c>
      <c r="L106" s="116"/>
      <c r="M106" s="116"/>
      <c r="N106" s="116"/>
      <c r="AJ106" s="41"/>
      <c r="AK106" s="41"/>
    </row>
    <row r="107" ht="15.75" customHeight="1" outlineLevel="4">
      <c r="A107" s="91" t="s">
        <v>188</v>
      </c>
      <c r="B107" s="91" t="s">
        <v>431</v>
      </c>
      <c r="C107" s="11"/>
      <c r="D107" s="11" t="s">
        <v>432</v>
      </c>
      <c r="E107" s="92">
        <v>6.0</v>
      </c>
      <c r="F107" s="94">
        <f t="array" ref="F107">INDEX(FECHAS,MATCH(INDEX(NLAB,MATCH($F$124,FECHAS,0))-24,NLAB,0))</f>
        <v>46422</v>
      </c>
      <c r="G107" s="94">
        <f t="array" ref="G107">IF(E107=0,F107,INDEX(FECHAS,MATCH(INDEX(NLAB,MATCH(F107,FECHAS,0))+E107-1,NLAB,0)))</f>
        <v>46428</v>
      </c>
      <c r="H107" s="22" t="s">
        <v>336</v>
      </c>
      <c r="I107" s="11" t="s">
        <v>433</v>
      </c>
      <c r="J107" s="91" t="str">
        <f>IF(K107&gt;=1,"Completado",IF(G107&lt;FECHA_ESTADO,"Atrasado",IF(K107&gt;0,"En progreso","No iniciado")))</f>
        <v>No iniciado</v>
      </c>
      <c r="K107" s="95">
        <v>0.0</v>
      </c>
      <c r="L107" s="91">
        <f t="array" ref="L107">INDEX(NLAB,MATCH($F$109,FECHAS,0))-1-INDEX(NLAB,MATCH(G107,FECHAS,0))</f>
        <v>0</v>
      </c>
      <c r="M107" s="91">
        <v>15.0</v>
      </c>
      <c r="N107" s="91" t="str">
        <f>IF(M107&lt;=0,"Sí","No")</f>
        <v>No</v>
      </c>
      <c r="AJ107" s="41"/>
      <c r="AK107" s="41"/>
    </row>
    <row r="108" ht="15.75" customHeight="1" outlineLevel="3">
      <c r="A108" s="116" t="s">
        <v>188</v>
      </c>
      <c r="B108" s="116" t="s">
        <v>434</v>
      </c>
      <c r="C108" s="117" t="s">
        <v>435</v>
      </c>
      <c r="D108" s="117"/>
      <c r="E108" s="116">
        <f t="array" ref="E108">INDEX(NLAB,MATCH(G108,FECHAS,0))-INDEX(NLAB,MATCH(F108,FECHAS,0))+1</f>
        <v>2</v>
      </c>
      <c r="F108" s="118">
        <f>MIN(F109)</f>
        <v>46429</v>
      </c>
      <c r="G108" s="118">
        <f>MAX(G109)</f>
        <v>46430</v>
      </c>
      <c r="H108" s="119"/>
      <c r="I108" s="117"/>
      <c r="J108" s="116" t="str">
        <f>IF(K108&gt;=1,"Completado",IF(AND(G108&lt;FECHA_ESTADO,K108&lt;1),"Atrasado",IF(K108&gt;0,"En progreso","No iniciado")))</f>
        <v>No iniciado</v>
      </c>
      <c r="K108" s="120">
        <f>IFERROR(SUMPRODUCT(--(C109=""),E109,K109)/SUMPRODUCT(--(C109=""),E109),0)</f>
        <v>0</v>
      </c>
      <c r="L108" s="116"/>
      <c r="M108" s="116"/>
      <c r="N108" s="116"/>
      <c r="AK108" s="41"/>
    </row>
    <row r="109" ht="27.0" customHeight="1" outlineLevel="4">
      <c r="A109" s="91" t="s">
        <v>188</v>
      </c>
      <c r="B109" s="91" t="s">
        <v>436</v>
      </c>
      <c r="C109" s="11"/>
      <c r="D109" s="11" t="s">
        <v>437</v>
      </c>
      <c r="E109" s="92">
        <v>2.0</v>
      </c>
      <c r="F109" s="94">
        <f t="array" ref="F109">INDEX(FECHAS,MATCH(INDEX(NLAB,MATCH($G$107,FECHAS,0))+1,NLAB,0))</f>
        <v>46429</v>
      </c>
      <c r="G109" s="94">
        <f t="array" ref="G109">IF(E109=0,F109,INDEX(FECHAS,MATCH(INDEX(NLAB,MATCH(F109,FECHAS,0))+E109-1,NLAB,0)))</f>
        <v>46430</v>
      </c>
      <c r="H109" s="22" t="s">
        <v>431</v>
      </c>
      <c r="I109" s="11" t="s">
        <v>438</v>
      </c>
      <c r="J109" s="91" t="str">
        <f>IF(K109&gt;=1,"Completado",IF(G109&lt;FECHA_ESTADO,"Atrasado",IF(K109&gt;0,"En progreso","No iniciado")))</f>
        <v>No iniciado</v>
      </c>
      <c r="K109" s="95">
        <v>0.0</v>
      </c>
      <c r="L109" s="91">
        <f t="array" ref="L109">INDEX(NLAB,MATCH($F$111,FECHAS,0))-1-INDEX(NLAB,MATCH(G109,FECHAS,0))</f>
        <v>12</v>
      </c>
      <c r="M109" s="91">
        <v>15.0</v>
      </c>
      <c r="N109" s="91" t="str">
        <f>IF(M109&lt;=0,"Sí","No")</f>
        <v>No</v>
      </c>
      <c r="AK109" s="41"/>
    </row>
    <row r="110" ht="15.75" customHeight="1" outlineLevel="3">
      <c r="A110" s="116" t="s">
        <v>188</v>
      </c>
      <c r="B110" s="116" t="s">
        <v>439</v>
      </c>
      <c r="C110" s="117" t="s">
        <v>440</v>
      </c>
      <c r="D110" s="117"/>
      <c r="E110" s="116">
        <f t="array" ref="E110">INDEX(NLAB,MATCH(G110,FECHAS,0))-INDEX(NLAB,MATCH(F110,FECHAS,0))+1</f>
        <v>1</v>
      </c>
      <c r="F110" s="118">
        <f>MIN(F111)</f>
        <v>46445</v>
      </c>
      <c r="G110" s="118">
        <f>MAX(G111)</f>
        <v>46445</v>
      </c>
      <c r="H110" s="119"/>
      <c r="I110" s="117"/>
      <c r="J110" s="116" t="str">
        <f>IF(K110&gt;=1,"Completado",IF(AND(G110&lt;FECHA_ESTADO,K110&lt;1),"Atrasado",IF(K110&gt;0,"En progreso","No iniciado")))</f>
        <v>No iniciado</v>
      </c>
      <c r="K110" s="120">
        <f>IFERROR(SUMPRODUCT(--(C111=""),E111,K111)/SUMPRODUCT(--(C111=""),E111),0)</f>
        <v>0</v>
      </c>
      <c r="L110" s="116"/>
      <c r="M110" s="116"/>
      <c r="N110" s="116"/>
      <c r="AM110" s="41"/>
    </row>
    <row r="111" ht="15.75" customHeight="1" outlineLevel="4">
      <c r="A111" s="91" t="s">
        <v>188</v>
      </c>
      <c r="B111" s="91" t="s">
        <v>441</v>
      </c>
      <c r="C111" s="11"/>
      <c r="D111" s="11" t="s">
        <v>442</v>
      </c>
      <c r="E111" s="92">
        <v>1.0</v>
      </c>
      <c r="F111" s="94">
        <f t="array" ref="F111">INDEX(FECHAS,MATCH(INDEX(NLAB,MATCH($F$124,FECHAS,0))-4,NLAB,0))</f>
        <v>46445</v>
      </c>
      <c r="G111" s="94">
        <f t="array" ref="G111">IF(E111=0,F111,INDEX(FECHAS,MATCH(INDEX(NLAB,MATCH(F111,FECHAS,0))+E111-1,NLAB,0)))</f>
        <v>46445</v>
      </c>
      <c r="H111" s="22" t="s">
        <v>436</v>
      </c>
      <c r="I111" s="11" t="s">
        <v>443</v>
      </c>
      <c r="J111" s="91" t="str">
        <f>IF(K111&gt;=1,"Completado",IF(G111&lt;FECHA_ESTADO,"Atrasado",IF(K111&gt;0,"En progreso","No iniciado")))</f>
        <v>No iniciado</v>
      </c>
      <c r="K111" s="95">
        <v>0.0</v>
      </c>
      <c r="L111" s="91">
        <f t="array" ref="L111">INDEX(NLAB,MATCH($F$124,FECHAS,0))-1-INDEX(NLAB,MATCH(G111,FECHAS,0))</f>
        <v>3</v>
      </c>
      <c r="M111" s="91">
        <v>3.0</v>
      </c>
      <c r="N111" s="91" t="str">
        <f>IF(M111&lt;=0,"Sí","No")</f>
        <v>No</v>
      </c>
      <c r="AM111" s="41"/>
    </row>
    <row r="112" ht="15.75" customHeight="1" outlineLevel="2">
      <c r="A112" s="116" t="s">
        <v>188</v>
      </c>
      <c r="B112" s="116" t="s">
        <v>444</v>
      </c>
      <c r="C112" s="117" t="s">
        <v>445</v>
      </c>
      <c r="D112" s="117"/>
      <c r="E112" s="116">
        <f t="array" ref="E112">INDEX(NLAB,MATCH(G112,FECHAS,0))-INDEX(NLAB,MATCH(F112,FECHAS,0))+1</f>
        <v>105</v>
      </c>
      <c r="F112" s="118">
        <f>MIN(F113:F117)</f>
        <v>46342</v>
      </c>
      <c r="G112" s="118">
        <f>MAX(G113:G117)</f>
        <v>46468</v>
      </c>
      <c r="H112" s="119"/>
      <c r="I112" s="117"/>
      <c r="J112" s="116" t="str">
        <f>IF(K112&gt;=1,"Completado",IF(AND(G112&lt;FECHA_ESTADO,K112&lt;1),"Atrasado",IF(K112&gt;0,"En progreso","No iniciado")))</f>
        <v>No iniciado</v>
      </c>
      <c r="K112" s="120">
        <f>IFERROR(SUMPRODUCT(--(C113:C117=""),E113:E117,K113:K117)/SUMPRODUCT(--(C113:C117=""),E113:E117),0)</f>
        <v>0</v>
      </c>
      <c r="L112" s="116"/>
      <c r="M112" s="116"/>
      <c r="N112" s="116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</row>
    <row r="113" ht="27.0" customHeight="1" outlineLevel="3">
      <c r="A113" s="91" t="s">
        <v>188</v>
      </c>
      <c r="B113" s="91" t="s">
        <v>446</v>
      </c>
      <c r="C113" s="11"/>
      <c r="D113" s="11" t="s">
        <v>447</v>
      </c>
      <c r="E113" s="92">
        <v>6.0</v>
      </c>
      <c r="F113" s="121">
        <v>46391.0</v>
      </c>
      <c r="G113" s="94">
        <f t="array" ref="G113">IF(E113=0,F113,INDEX(FECHAS,MATCH(INDEX(NLAB,MATCH(F113,FECHAS,0))+E113-1,NLAB,0)))</f>
        <v>46396</v>
      </c>
      <c r="H113" s="22" t="s">
        <v>448</v>
      </c>
      <c r="I113" s="11" t="s">
        <v>449</v>
      </c>
      <c r="J113" s="91" t="str">
        <f>IF(K113&gt;=1,"Completado",IF(G113&lt;FECHA_ESTADO,"Atrasado",IF(K113&gt;0,"En progreso","No iniciado")))</f>
        <v>No iniciado</v>
      </c>
      <c r="K113" s="95">
        <v>0.0</v>
      </c>
      <c r="L113" s="91">
        <f t="array" ref="L113">MIN(INDEX(NLAB,MATCH($F$115,FECHAS,0))-1,INDEX(NLAB,MATCH(DATE(2027,1,15),FECHAS,0)))-INDEX(NLAB,MATCH(G113,FECHAS,0))</f>
        <v>5</v>
      </c>
      <c r="M113" s="91">
        <v>5.0</v>
      </c>
      <c r="N113" s="91" t="str">
        <f t="shared" ref="N113:N116" si="65">IF(M113&lt;=0,"Sí","No")</f>
        <v>No</v>
      </c>
      <c r="AF113" s="41"/>
    </row>
    <row r="114" ht="27.0" customHeight="1" outlineLevel="3">
      <c r="A114" s="91" t="s">
        <v>188</v>
      </c>
      <c r="B114" s="91" t="s">
        <v>450</v>
      </c>
      <c r="C114" s="11"/>
      <c r="D114" s="11" t="s">
        <v>451</v>
      </c>
      <c r="E114" s="92">
        <v>10.0</v>
      </c>
      <c r="F114" s="121">
        <v>46342.0</v>
      </c>
      <c r="G114" s="94">
        <f t="array" ref="G114">IF(E114=0,F114,INDEX(FECHAS,MATCH(INDEX(NLAB,MATCH(F114,FECHAS,0))+E114-1,NLAB,0)))</f>
        <v>46352</v>
      </c>
      <c r="H114" s="22" t="s">
        <v>452</v>
      </c>
      <c r="I114" s="11" t="s">
        <v>266</v>
      </c>
      <c r="J114" s="91" t="str">
        <f>IF(K114&gt;=1,"Completado",IF(G114&lt;FECHA_ESTADO,"Atrasado",IF(K114&gt;0,"En progreso","No iniciado")))</f>
        <v>No iniciado</v>
      </c>
      <c r="K114" s="95">
        <v>0.0</v>
      </c>
      <c r="L114" s="91">
        <f t="array" ref="L114">MIN(INDEX(NLAB,MATCH($F$115,FECHAS,0))-1,INDEX(NLAB,MATCH($F$121,FECHAS,0))-1,INDEX(NLAB,MATCH(DATE(2027,2,5),FECHAS,0)))-INDEX(NLAB,MATCH(G114,FECHAS,0))</f>
        <v>28</v>
      </c>
      <c r="M114" s="91">
        <v>49.0</v>
      </c>
      <c r="N114" s="91" t="str">
        <f t="shared" si="65"/>
        <v>No</v>
      </c>
      <c r="Y114" s="41"/>
      <c r="Z114" s="41"/>
    </row>
    <row r="115" ht="27.0" customHeight="1" outlineLevel="3">
      <c r="A115" s="91" t="s">
        <v>188</v>
      </c>
      <c r="B115" s="91" t="s">
        <v>453</v>
      </c>
      <c r="C115" s="11"/>
      <c r="D115" s="11" t="s">
        <v>454</v>
      </c>
      <c r="E115" s="92">
        <v>1.0</v>
      </c>
      <c r="F115" s="94">
        <f t="array" ref="F115">INDEX(FECHAS,MATCH(INDEX(NLAB,MATCH($F$124,FECHAS,0))-14,NLAB,0))</f>
        <v>46434</v>
      </c>
      <c r="G115" s="94">
        <f t="array" ref="G115">IF(E115=0,F115,INDEX(FECHAS,MATCH(INDEX(NLAB,MATCH(F115,FECHAS,0))+E115-1,NLAB,0)))</f>
        <v>46434</v>
      </c>
      <c r="H115" s="22" t="s">
        <v>455</v>
      </c>
      <c r="I115" s="11" t="s">
        <v>449</v>
      </c>
      <c r="J115" s="91" t="str">
        <f>IF(K115&gt;=1,"Completado",IF(G115&lt;FECHA_ESTADO,"Atrasado",IF(K115&gt;0,"En progreso","No iniciado")))</f>
        <v>No iniciado</v>
      </c>
      <c r="K115" s="95">
        <v>0.0</v>
      </c>
      <c r="L115" s="91">
        <f t="array" ref="L115">INDEX(NLAB,MATCH($F$116,FECHAS,0))-1-INDEX(NLAB,MATCH(G115,FECHAS,0))</f>
        <v>8</v>
      </c>
      <c r="M115" s="91">
        <v>12.0</v>
      </c>
      <c r="N115" s="91" t="str">
        <f t="shared" si="65"/>
        <v>No</v>
      </c>
      <c r="AL115" s="41"/>
    </row>
    <row r="116" ht="27.0" customHeight="1" outlineLevel="3">
      <c r="A116" s="91" t="s">
        <v>188</v>
      </c>
      <c r="B116" s="91" t="s">
        <v>456</v>
      </c>
      <c r="C116" s="11"/>
      <c r="D116" s="11" t="s">
        <v>457</v>
      </c>
      <c r="E116" s="92">
        <v>1.0</v>
      </c>
      <c r="F116" s="94">
        <f t="array" ref="F116">INDEX(FECHAS,MATCH(INDEX(NLAB,MATCH($F$124,FECHAS,0))-5,NLAB,0))</f>
        <v>46444</v>
      </c>
      <c r="G116" s="94">
        <f t="array" ref="G116">IF(E116=0,F116,INDEX(FECHAS,MATCH(INDEX(NLAB,MATCH(F116,FECHAS,0))+E116-1,NLAB,0)))</f>
        <v>46444</v>
      </c>
      <c r="H116" s="22" t="s">
        <v>453</v>
      </c>
      <c r="I116" s="11" t="s">
        <v>458</v>
      </c>
      <c r="J116" s="91" t="str">
        <f>IF(K116&gt;=1,"Completado",IF(G116&lt;FECHA_ESTADO,"Atrasado",IF(K116&gt;0,"En progreso","No iniciado")))</f>
        <v>No iniciado</v>
      </c>
      <c r="K116" s="95">
        <v>0.0</v>
      </c>
      <c r="L116" s="91">
        <f t="array" ref="L116">INDEX(NLAB,MATCH($F$124,FECHAS,0))-1-INDEX(NLAB,MATCH(G116,FECHAS,0))</f>
        <v>4</v>
      </c>
      <c r="M116" s="91">
        <v>4.0</v>
      </c>
      <c r="N116" s="91" t="str">
        <f t="shared" si="65"/>
        <v>No</v>
      </c>
      <c r="AM116" s="41"/>
    </row>
    <row r="117" ht="27.0" customHeight="1" outlineLevel="3">
      <c r="A117" s="91" t="s">
        <v>188</v>
      </c>
      <c r="B117" s="91" t="s">
        <v>459</v>
      </c>
      <c r="C117" s="11"/>
      <c r="D117" s="11" t="s">
        <v>460</v>
      </c>
      <c r="E117" s="91">
        <f t="array" ref="E117">INDEX(NLAB,MATCH(G117,FECHAS,0))-INDEX(NLAB,MATCH(F117,FECHAS,0))+1</f>
        <v>21</v>
      </c>
      <c r="F117" s="94">
        <f t="array" ref="F117">INDEX(FECHAS,MATCH(INDEX(NLAB,MATCH($F$124,FECHAS,0))-5,NLAB,0))</f>
        <v>46444</v>
      </c>
      <c r="G117" s="94">
        <f t="array" ref="G117">INDEX(FECHAS,MATCH(INDEX(NLAB,MATCH($F$130,FECHAS,0))-2,NLAB,0))</f>
        <v>46468</v>
      </c>
      <c r="H117" s="22" t="s">
        <v>450</v>
      </c>
      <c r="I117" s="11" t="s">
        <v>266</v>
      </c>
      <c r="J117" s="91" t="str">
        <f>IF(K117&gt;=1,"Completado",IF(G117&lt;FECHA_ESTADO,"Atrasado",IF(K117&gt;0,"En progreso","No iniciado")))</f>
        <v>No iniciado</v>
      </c>
      <c r="K117" s="95">
        <v>0.0</v>
      </c>
      <c r="L117" s="122" t="s">
        <v>148</v>
      </c>
      <c r="M117" s="122" t="s">
        <v>148</v>
      </c>
      <c r="N117" s="91" t="s">
        <v>377</v>
      </c>
      <c r="AM117" s="41"/>
      <c r="AN117" s="41"/>
      <c r="AO117" s="41"/>
      <c r="AP117" s="41"/>
      <c r="AQ117" s="41"/>
    </row>
    <row r="118" ht="15.75" customHeight="1" outlineLevel="2">
      <c r="A118" s="116" t="s">
        <v>188</v>
      </c>
      <c r="B118" s="116" t="s">
        <v>461</v>
      </c>
      <c r="C118" s="117" t="s">
        <v>462</v>
      </c>
      <c r="D118" s="117"/>
      <c r="E118" s="116">
        <f t="array" ref="E118">INDEX(NLAB,MATCH(G118,FECHAS,0))-INDEX(NLAB,MATCH(F118,FECHAS,0))+1</f>
        <v>18</v>
      </c>
      <c r="F118" s="118">
        <f>MIN(F119)</f>
        <v>46450</v>
      </c>
      <c r="G118" s="118">
        <f>MAX(G119)</f>
        <v>46470</v>
      </c>
      <c r="H118" s="119"/>
      <c r="I118" s="117"/>
      <c r="J118" s="116" t="str">
        <f>IF(K118&gt;=1,"Completado",IF(AND(G118&lt;FECHA_ESTADO,K118&lt;1),"Atrasado",IF(K118&gt;0,"En progreso","No iniciado")))</f>
        <v>No iniciado</v>
      </c>
      <c r="K118" s="120">
        <f>IFERROR(SUMPRODUCT(--(C119=""),E119,K119)/SUMPRODUCT(--(C119=""),E119),0)</f>
        <v>0</v>
      </c>
      <c r="L118" s="116"/>
      <c r="M118" s="116"/>
      <c r="N118" s="116"/>
      <c r="AN118" s="41"/>
      <c r="AO118" s="41"/>
      <c r="AP118" s="41"/>
      <c r="AQ118" s="41"/>
    </row>
    <row r="119" ht="15.75" customHeight="1" outlineLevel="3">
      <c r="A119" s="91" t="s">
        <v>188</v>
      </c>
      <c r="B119" s="91" t="s">
        <v>463</v>
      </c>
      <c r="C119" s="11"/>
      <c r="D119" s="11" t="s">
        <v>464</v>
      </c>
      <c r="E119" s="91">
        <f t="array" ref="E119">INDEX(NLAB,MATCH(G119,FECHAS,0))-INDEX(NLAB,MATCH(F119,FECHAS,0))+1</f>
        <v>18</v>
      </c>
      <c r="F119" s="94">
        <f>$F$124</f>
        <v>46450</v>
      </c>
      <c r="G119" s="94">
        <f>$G$130</f>
        <v>46470</v>
      </c>
      <c r="H119" s="22" t="s">
        <v>391</v>
      </c>
      <c r="I119" s="11" t="s">
        <v>449</v>
      </c>
      <c r="J119" s="91" t="str">
        <f>IF(K119&gt;=1,"Completado",IF(G119&lt;FECHA_ESTADO,"Atrasado",IF(K119&gt;0,"En progreso","No iniciado")))</f>
        <v>No iniciado</v>
      </c>
      <c r="K119" s="95">
        <v>0.0</v>
      </c>
      <c r="L119" s="122" t="s">
        <v>148</v>
      </c>
      <c r="M119" s="122" t="s">
        <v>148</v>
      </c>
      <c r="N119" s="91" t="s">
        <v>377</v>
      </c>
      <c r="AN119" s="41"/>
      <c r="AO119" s="41"/>
      <c r="AP119" s="41"/>
      <c r="AQ119" s="41"/>
    </row>
    <row r="120" ht="15.75" customHeight="1" outlineLevel="2">
      <c r="A120" s="116" t="s">
        <v>188</v>
      </c>
      <c r="B120" s="116" t="s">
        <v>465</v>
      </c>
      <c r="C120" s="117" t="s">
        <v>466</v>
      </c>
      <c r="D120" s="117"/>
      <c r="E120" s="116">
        <f t="array" ref="E120">INDEX(NLAB,MATCH(G120,FECHAS,0))-INDEX(NLAB,MATCH(F120,FECHAS,0))+1</f>
        <v>8</v>
      </c>
      <c r="F120" s="118">
        <f>MIN(F121:F122)</f>
        <v>46391</v>
      </c>
      <c r="G120" s="118">
        <f>MAX(G121:G122)</f>
        <v>46399</v>
      </c>
      <c r="H120" s="119"/>
      <c r="I120" s="117"/>
      <c r="J120" s="116" t="str">
        <f>IF(K120&gt;=1,"Completado",IF(AND(G120&lt;FECHA_ESTADO,K120&lt;1),"Atrasado",IF(K120&gt;0,"En progreso","No iniciado")))</f>
        <v>No iniciado</v>
      </c>
      <c r="K120" s="120">
        <f>IFERROR(SUMPRODUCT(--(C121:C122=""),E121:E122,K121:K122)/SUMPRODUCT(--(C121:C122=""),E121:E122),0)</f>
        <v>0</v>
      </c>
      <c r="L120" s="116"/>
      <c r="M120" s="116"/>
      <c r="N120" s="116"/>
      <c r="AF120" s="41"/>
      <c r="AG120" s="41"/>
    </row>
    <row r="121" ht="27.0" customHeight="1" outlineLevel="3">
      <c r="A121" s="91" t="s">
        <v>188</v>
      </c>
      <c r="B121" s="91" t="s">
        <v>467</v>
      </c>
      <c r="C121" s="11"/>
      <c r="D121" s="11" t="s">
        <v>468</v>
      </c>
      <c r="E121" s="92">
        <v>6.0</v>
      </c>
      <c r="F121" s="121">
        <v>46391.0</v>
      </c>
      <c r="G121" s="94">
        <f t="array" ref="G121">IF(E121=0,F121,INDEX(FECHAS,MATCH(INDEX(NLAB,MATCH(F121,FECHAS,0))+E121-1,NLAB,0)))</f>
        <v>46396</v>
      </c>
      <c r="H121" s="22" t="s">
        <v>469</v>
      </c>
      <c r="I121" s="11" t="s">
        <v>470</v>
      </c>
      <c r="J121" s="91" t="str">
        <f>IF(K121&gt;=1,"Completado",IF(G121&lt;FECHA_ESTADO,"Atrasado",IF(K121&gt;0,"En progreso","No iniciado")))</f>
        <v>No iniciado</v>
      </c>
      <c r="K121" s="95">
        <v>0.0</v>
      </c>
      <c r="L121" s="91">
        <f t="array" ref="L121">INDEX(NLAB,MATCH($F$122,FECHAS,0))-1-INDEX(NLAB,MATCH(G121,FECHAS,0))</f>
        <v>0</v>
      </c>
      <c r="M121" s="91">
        <v>21.0</v>
      </c>
      <c r="N121" s="91" t="str">
        <f t="shared" ref="N121:N122" si="66">IF(M121&lt;=0,"Sí","No")</f>
        <v>No</v>
      </c>
      <c r="AF121" s="41"/>
    </row>
    <row r="122" ht="27.0" customHeight="1" outlineLevel="3">
      <c r="A122" s="91" t="s">
        <v>188</v>
      </c>
      <c r="B122" s="91" t="s">
        <v>471</v>
      </c>
      <c r="C122" s="11"/>
      <c r="D122" s="11" t="s">
        <v>472</v>
      </c>
      <c r="E122" s="92">
        <v>2.0</v>
      </c>
      <c r="F122" s="94">
        <f t="array" ref="F122">INDEX(FECHAS,MATCH(INDEX(NLAB,MATCH($G$121,FECHAS,0))+1,NLAB,0))</f>
        <v>46398</v>
      </c>
      <c r="G122" s="94">
        <f t="array" ref="G122">IF(E122=0,F122,INDEX(FECHAS,MATCH(INDEX(NLAB,MATCH(F122,FECHAS,0))+E122-1,NLAB,0)))</f>
        <v>46399</v>
      </c>
      <c r="H122" s="22" t="s">
        <v>467</v>
      </c>
      <c r="I122" s="11" t="s">
        <v>473</v>
      </c>
      <c r="J122" s="91" t="str">
        <f>IF(K122&gt;=1,"Completado",IF(G122&lt;FECHA_ESTADO,"Atrasado",IF(K122&gt;0,"En progreso","No iniciado")))</f>
        <v>No iniciado</v>
      </c>
      <c r="K122" s="95">
        <v>0.0</v>
      </c>
      <c r="L122" s="91">
        <f t="array" ref="L122">MIN(INDEX(NLAB,MATCH($F$124,FECHAS,0))-1,INDEX(NLAB,MATCH(DATE(2027,2,5),FECHAS,0)))-INDEX(NLAB,MATCH(G122,FECHAS,0))</f>
        <v>21</v>
      </c>
      <c r="M122" s="91">
        <v>21.0</v>
      </c>
      <c r="N122" s="91" t="str">
        <f t="shared" si="66"/>
        <v>No</v>
      </c>
      <c r="AG122" s="41"/>
    </row>
    <row r="123" ht="15.75" customHeight="1" outlineLevel="2">
      <c r="A123" s="116" t="s">
        <v>188</v>
      </c>
      <c r="B123" s="116" t="s">
        <v>474</v>
      </c>
      <c r="C123" s="117" t="s">
        <v>475</v>
      </c>
      <c r="D123" s="117"/>
      <c r="E123" s="116">
        <f t="array" ref="E123">INDEX(NLAB,MATCH(G123,FECHAS,0))-INDEX(NLAB,MATCH(F123,FECHAS,0))+1</f>
        <v>21</v>
      </c>
      <c r="F123" s="118">
        <f>MIN(F124:F131)</f>
        <v>46450</v>
      </c>
      <c r="G123" s="118">
        <f>MAX(G124:G131)</f>
        <v>46476</v>
      </c>
      <c r="H123" s="119"/>
      <c r="I123" s="117"/>
      <c r="J123" s="116" t="str">
        <f>IF(K123&gt;=1,"Completado",IF(AND(G123&lt;FECHA_ESTADO,K123&lt;1),"Atrasado",IF(K123&gt;0,"En progreso","No iniciado")))</f>
        <v>No iniciado</v>
      </c>
      <c r="K123" s="120">
        <f>IFERROR(SUMPRODUCT(--(C124:C131=""),E124:E131,K124:K131)/SUMPRODUCT(--(C124:C131=""),E124:E131),0)</f>
        <v>0</v>
      </c>
      <c r="L123" s="116"/>
      <c r="M123" s="116"/>
      <c r="N123" s="116"/>
      <c r="AN123" s="41"/>
      <c r="AO123" s="41"/>
      <c r="AP123" s="41"/>
      <c r="AQ123" s="41"/>
      <c r="AR123" s="41"/>
    </row>
    <row r="124" ht="15.75" customHeight="1" outlineLevel="3">
      <c r="A124" s="91" t="s">
        <v>188</v>
      </c>
      <c r="B124" s="91" t="s">
        <v>192</v>
      </c>
      <c r="C124" s="11"/>
      <c r="D124" s="11" t="s">
        <v>476</v>
      </c>
      <c r="E124" s="92">
        <v>1.0</v>
      </c>
      <c r="F124" s="93">
        <v>46450.0</v>
      </c>
      <c r="G124" s="94">
        <f t="array" ref="G124">IF(E124=0,F124,INDEX(FECHAS,MATCH(INDEX(NLAB,MATCH(F124,FECHAS,0))+E124-1,NLAB,0)))</f>
        <v>46450</v>
      </c>
      <c r="H124" s="22" t="s">
        <v>477</v>
      </c>
      <c r="I124" s="11" t="s">
        <v>478</v>
      </c>
      <c r="J124" s="91" t="str">
        <f>IF(K124&gt;=1,"Completado",IF(G124&lt;FECHA_ESTADO,"Atrasado",IF(K124&gt;0,"En progreso","No iniciado")))</f>
        <v>No iniciado</v>
      </c>
      <c r="K124" s="95">
        <v>0.0</v>
      </c>
      <c r="L124" s="91">
        <f t="array" ref="L124">MIN(INDEX(NLAB,MATCH($F$125,FECHAS,0))-1,INDEX(NLAB,MATCH(DATE(2027,3,4),FECHAS,0)))-INDEX(NLAB,MATCH(G124,FECHAS,0))</f>
        <v>0</v>
      </c>
      <c r="M124" s="91">
        <v>0.0</v>
      </c>
      <c r="N124" s="91" t="str">
        <f t="shared" ref="N124:N131" si="67">IF(M124&lt;=0,"Sí","No")</f>
        <v>Sí</v>
      </c>
      <c r="AN124" s="41"/>
    </row>
    <row r="125" ht="15.75" customHeight="1" outlineLevel="3">
      <c r="A125" s="91" t="s">
        <v>188</v>
      </c>
      <c r="B125" s="91" t="s">
        <v>479</v>
      </c>
      <c r="C125" s="11"/>
      <c r="D125" s="11" t="s">
        <v>480</v>
      </c>
      <c r="E125" s="92">
        <v>1.0</v>
      </c>
      <c r="F125" s="93">
        <v>46452.0</v>
      </c>
      <c r="G125" s="94">
        <f t="array" ref="G125">IF(E125=0,F125,INDEX(FECHAS,MATCH(INDEX(NLAB,MATCH(F125,FECHAS,0))+E125-1,NLAB,0)))</f>
        <v>46452</v>
      </c>
      <c r="H125" s="22" t="s">
        <v>192</v>
      </c>
      <c r="I125" s="11" t="s">
        <v>478</v>
      </c>
      <c r="J125" s="91" t="str">
        <f>IF(K125&gt;=1,"Completado",IF(G125&lt;FECHA_ESTADO,"Atrasado",IF(K125&gt;0,"En progreso","No iniciado")))</f>
        <v>No iniciado</v>
      </c>
      <c r="K125" s="95">
        <v>0.0</v>
      </c>
      <c r="L125" s="91">
        <f t="array" ref="L125">INDEX(NLAB,MATCH($F$126,FECHAS,0))-1-INDEX(NLAB,MATCH(G125,FECHAS,0))</f>
        <v>3</v>
      </c>
      <c r="M125" s="91">
        <v>0.0</v>
      </c>
      <c r="N125" s="91" t="str">
        <f t="shared" si="67"/>
        <v>Sí</v>
      </c>
      <c r="AN125" s="41"/>
    </row>
    <row r="126" ht="15.75" customHeight="1" outlineLevel="3">
      <c r="A126" s="91" t="s">
        <v>188</v>
      </c>
      <c r="B126" s="91" t="s">
        <v>481</v>
      </c>
      <c r="C126" s="11"/>
      <c r="D126" s="11" t="s">
        <v>482</v>
      </c>
      <c r="E126" s="92">
        <v>1.0</v>
      </c>
      <c r="F126" s="93">
        <v>46457.0</v>
      </c>
      <c r="G126" s="94">
        <f t="array" ref="G126">IF(E126=0,F126,INDEX(FECHAS,MATCH(INDEX(NLAB,MATCH(F126,FECHAS,0))+E126-1,NLAB,0)))</f>
        <v>46457</v>
      </c>
      <c r="H126" s="22" t="s">
        <v>479</v>
      </c>
      <c r="I126" s="11" t="s">
        <v>478</v>
      </c>
      <c r="J126" s="91" t="str">
        <f>IF(K126&gt;=1,"Completado",IF(G126&lt;FECHA_ESTADO,"Atrasado",IF(K126&gt;0,"En progreso","No iniciado")))</f>
        <v>No iniciado</v>
      </c>
      <c r="K126" s="95">
        <v>0.0</v>
      </c>
      <c r="L126" s="91">
        <f t="array" ref="L126">INDEX(NLAB,MATCH($F$127,FECHAS,0))-1-INDEX(NLAB,MATCH(G126,FECHAS,0))</f>
        <v>1</v>
      </c>
      <c r="M126" s="91">
        <v>0.0</v>
      </c>
      <c r="N126" s="91" t="str">
        <f t="shared" si="67"/>
        <v>Sí</v>
      </c>
      <c r="AO126" s="41"/>
    </row>
    <row r="127" ht="15.75" customHeight="1" outlineLevel="3">
      <c r="A127" s="91" t="s">
        <v>188</v>
      </c>
      <c r="B127" s="91" t="s">
        <v>483</v>
      </c>
      <c r="C127" s="11"/>
      <c r="D127" s="11" t="s">
        <v>484</v>
      </c>
      <c r="E127" s="92">
        <v>1.0</v>
      </c>
      <c r="F127" s="93">
        <v>46459.0</v>
      </c>
      <c r="G127" s="94">
        <f t="array" ref="G127">IF(E127=0,F127,INDEX(FECHAS,MATCH(INDEX(NLAB,MATCH(F127,FECHAS,0))+E127-1,NLAB,0)))</f>
        <v>46459</v>
      </c>
      <c r="H127" s="22" t="s">
        <v>481</v>
      </c>
      <c r="I127" s="11" t="s">
        <v>478</v>
      </c>
      <c r="J127" s="91" t="str">
        <f>IF(K127&gt;=1,"Completado",IF(G127&lt;FECHA_ESTADO,"Atrasado",IF(K127&gt;0,"En progreso","No iniciado")))</f>
        <v>No iniciado</v>
      </c>
      <c r="K127" s="95">
        <v>0.0</v>
      </c>
      <c r="L127" s="91">
        <f t="array" ref="L127">INDEX(NLAB,MATCH($F$128,FECHAS,0))-1-INDEX(NLAB,MATCH(G127,FECHAS,0))</f>
        <v>3</v>
      </c>
      <c r="M127" s="91">
        <v>0.0</v>
      </c>
      <c r="N127" s="91" t="str">
        <f t="shared" si="67"/>
        <v>Sí</v>
      </c>
      <c r="AO127" s="41"/>
    </row>
    <row r="128" ht="15.75" customHeight="1" outlineLevel="3">
      <c r="A128" s="91" t="s">
        <v>188</v>
      </c>
      <c r="B128" s="91" t="s">
        <v>485</v>
      </c>
      <c r="C128" s="11"/>
      <c r="D128" s="11" t="s">
        <v>486</v>
      </c>
      <c r="E128" s="92">
        <v>1.0</v>
      </c>
      <c r="F128" s="93">
        <v>46464.0</v>
      </c>
      <c r="G128" s="94">
        <f t="array" ref="G128">IF(E128=0,F128,INDEX(FECHAS,MATCH(INDEX(NLAB,MATCH(F128,FECHAS,0))+E128-1,NLAB,0)))</f>
        <v>46464</v>
      </c>
      <c r="H128" s="22" t="s">
        <v>483</v>
      </c>
      <c r="I128" s="11" t="s">
        <v>478</v>
      </c>
      <c r="J128" s="91" t="str">
        <f>IF(K128&gt;=1,"Completado",IF(G128&lt;FECHA_ESTADO,"Atrasado",IF(K128&gt;0,"En progreso","No iniciado")))</f>
        <v>No iniciado</v>
      </c>
      <c r="K128" s="95">
        <v>0.0</v>
      </c>
      <c r="L128" s="91">
        <f t="array" ref="L128">INDEX(NLAB,MATCH($F$129,FECHAS,0))-1-INDEX(NLAB,MATCH(G128,FECHAS,0))</f>
        <v>1</v>
      </c>
      <c r="M128" s="91">
        <v>0.0</v>
      </c>
      <c r="N128" s="91" t="str">
        <f t="shared" si="67"/>
        <v>Sí</v>
      </c>
      <c r="AP128" s="41"/>
    </row>
    <row r="129" ht="15.75" customHeight="1" outlineLevel="3">
      <c r="A129" s="91" t="s">
        <v>188</v>
      </c>
      <c r="B129" s="91" t="s">
        <v>487</v>
      </c>
      <c r="C129" s="11"/>
      <c r="D129" s="11" t="s">
        <v>488</v>
      </c>
      <c r="E129" s="92">
        <v>1.0</v>
      </c>
      <c r="F129" s="93">
        <v>46466.0</v>
      </c>
      <c r="G129" s="94">
        <f t="array" ref="G129">IF(E129=0,F129,INDEX(FECHAS,MATCH(INDEX(NLAB,MATCH(F129,FECHAS,0))+E129-1,NLAB,0)))</f>
        <v>46466</v>
      </c>
      <c r="H129" s="22" t="s">
        <v>485</v>
      </c>
      <c r="I129" s="11" t="s">
        <v>478</v>
      </c>
      <c r="J129" s="91" t="str">
        <f>IF(K129&gt;=1,"Completado",IF(G129&lt;FECHA_ESTADO,"Atrasado",IF(K129&gt;0,"En progreso","No iniciado")))</f>
        <v>No iniciado</v>
      </c>
      <c r="K129" s="95">
        <v>0.0</v>
      </c>
      <c r="L129" s="91">
        <f t="array" ref="L129">INDEX(NLAB,MATCH($F$130,FECHAS,0))-1-INDEX(NLAB,MATCH(G129,FECHAS,0))</f>
        <v>2</v>
      </c>
      <c r="M129" s="91">
        <v>0.0</v>
      </c>
      <c r="N129" s="91" t="str">
        <f t="shared" si="67"/>
        <v>Sí</v>
      </c>
      <c r="AP129" s="41"/>
    </row>
    <row r="130" ht="27.0" customHeight="1" outlineLevel="3">
      <c r="A130" s="91" t="s">
        <v>188</v>
      </c>
      <c r="B130" s="91" t="s">
        <v>489</v>
      </c>
      <c r="C130" s="11"/>
      <c r="D130" s="11" t="s">
        <v>490</v>
      </c>
      <c r="E130" s="92">
        <v>1.0</v>
      </c>
      <c r="F130" s="93">
        <v>46470.0</v>
      </c>
      <c r="G130" s="94">
        <f t="array" ref="G130">IF(E130=0,F130,INDEX(FECHAS,MATCH(INDEX(NLAB,MATCH(F130,FECHAS,0))+E130-1,NLAB,0)))</f>
        <v>46470</v>
      </c>
      <c r="H130" s="22" t="s">
        <v>487</v>
      </c>
      <c r="I130" s="11" t="s">
        <v>478</v>
      </c>
      <c r="J130" s="91" t="str">
        <f>IF(K130&gt;=1,"Completado",IF(G130&lt;FECHA_ESTADO,"Atrasado",IF(K130&gt;0,"En progreso","No iniciado")))</f>
        <v>No iniciado</v>
      </c>
      <c r="K130" s="95">
        <v>0.0</v>
      </c>
      <c r="L130" s="91">
        <f t="array" ref="L130">MIN(INDEX(NLAB,MATCH($F$131,FECHAS,0))-1,INDEX(NLAB,MATCH($F$133,FECHAS,0))-1,INDEX(NLAB,MATCH($F$216,FECHAS,0))-1)-INDEX(NLAB,MATCH(G130,FECHAS,0))</f>
        <v>0</v>
      </c>
      <c r="M130" s="91">
        <v>0.0</v>
      </c>
      <c r="N130" s="91" t="str">
        <f t="shared" si="67"/>
        <v>Sí</v>
      </c>
      <c r="AQ130" s="41"/>
    </row>
    <row r="131" ht="27.0" customHeight="1" outlineLevel="3">
      <c r="A131" s="91" t="s">
        <v>188</v>
      </c>
      <c r="B131" s="91" t="s">
        <v>491</v>
      </c>
      <c r="C131" s="11"/>
      <c r="D131" s="11" t="s">
        <v>492</v>
      </c>
      <c r="E131" s="92">
        <v>2.0</v>
      </c>
      <c r="F131" s="94">
        <f t="array" ref="F131">INDEX(FECHAS,MATCH(INDEX(NLAB,MATCH($G$216,FECHAS,0))+1,NLAB,0))</f>
        <v>46475</v>
      </c>
      <c r="G131" s="94">
        <f t="array" ref="G131">IF(E131=0,F131,INDEX(FECHAS,MATCH(INDEX(NLAB,MATCH(F131,FECHAS,0))+E131-1,NLAB,0)))</f>
        <v>46476</v>
      </c>
      <c r="H131" s="22" t="s">
        <v>493</v>
      </c>
      <c r="I131" s="11" t="s">
        <v>494</v>
      </c>
      <c r="J131" s="91" t="str">
        <f>IF(K131&gt;=1,"Completado",IF(G131&lt;FECHA_ESTADO,"Atrasado",IF(K131&gt;0,"En progreso","No iniciado")))</f>
        <v>No iniciado</v>
      </c>
      <c r="K131" s="95">
        <v>0.0</v>
      </c>
      <c r="L131" s="91">
        <f t="array" ref="L131">INDEX(NLAB,MATCH($F$318,FECHAS,0))-1-INDEX(NLAB,MATCH(G131,FECHAS,0))</f>
        <v>0</v>
      </c>
      <c r="M131" s="91">
        <v>1.0</v>
      </c>
      <c r="N131" s="91" t="str">
        <f t="shared" si="67"/>
        <v>No</v>
      </c>
      <c r="AR131" s="41"/>
    </row>
    <row r="132" ht="15.75" customHeight="1" outlineLevel="2">
      <c r="A132" s="116" t="s">
        <v>188</v>
      </c>
      <c r="B132" s="116" t="s">
        <v>495</v>
      </c>
      <c r="C132" s="117" t="s">
        <v>496</v>
      </c>
      <c r="D132" s="117"/>
      <c r="E132" s="116">
        <f t="array" ref="E132">INDEX(NLAB,MATCH(G132,FECHAS,0))-INDEX(NLAB,MATCH(F132,FECHAS,0))+1</f>
        <v>1</v>
      </c>
      <c r="F132" s="118">
        <f>MIN(F133)</f>
        <v>46475</v>
      </c>
      <c r="G132" s="118">
        <f>MAX(G133)</f>
        <v>46475</v>
      </c>
      <c r="H132" s="119"/>
      <c r="I132" s="117"/>
      <c r="J132" s="116" t="str">
        <f>IF(K132&gt;=1,"Completado",IF(AND(G132&lt;FECHA_ESTADO,K132&lt;1),"Atrasado",IF(K132&gt;0,"En progreso","No iniciado")))</f>
        <v>No iniciado</v>
      </c>
      <c r="K132" s="120">
        <f>IFERROR(SUMPRODUCT(--(C133=""),E133,K133)/SUMPRODUCT(--(C133=""),E133),0)</f>
        <v>0</v>
      </c>
      <c r="L132" s="116"/>
      <c r="M132" s="116"/>
      <c r="N132" s="116"/>
      <c r="AR132" s="41"/>
    </row>
    <row r="133" ht="27.0" customHeight="1" outlineLevel="3">
      <c r="A133" s="91" t="s">
        <v>188</v>
      </c>
      <c r="B133" s="91" t="s">
        <v>497</v>
      </c>
      <c r="C133" s="11"/>
      <c r="D133" s="11" t="s">
        <v>498</v>
      </c>
      <c r="E133" s="92">
        <v>1.0</v>
      </c>
      <c r="F133" s="94">
        <f t="array" ref="F133">INDEX(FECHAS,MATCH(INDEX(NLAB,MATCH($G$216,FECHAS,0))+1,NLAB,0))</f>
        <v>46475</v>
      </c>
      <c r="G133" s="94">
        <f t="array" ref="G133">IF(E133=0,F133,INDEX(FECHAS,MATCH(INDEX(NLAB,MATCH(F133,FECHAS,0))+E133-1,NLAB,0)))</f>
        <v>46475</v>
      </c>
      <c r="H133" s="22" t="s">
        <v>493</v>
      </c>
      <c r="I133" s="11" t="s">
        <v>499</v>
      </c>
      <c r="J133" s="91" t="str">
        <f>IF(K133&gt;=1,"Completado",IF(G133&lt;FECHA_ESTADO,"Atrasado",IF(K133&gt;0,"En progreso","No iniciado")))</f>
        <v>No iniciado</v>
      </c>
      <c r="K133" s="95">
        <v>0.0</v>
      </c>
      <c r="L133" s="91">
        <f t="array" ref="L133">INDEX(NLAB,MATCH($F$318,FECHAS,0))-1-INDEX(NLAB,MATCH(G133,FECHAS,0))</f>
        <v>1</v>
      </c>
      <c r="M133" s="91">
        <v>2.0</v>
      </c>
      <c r="N133" s="91" t="str">
        <f>IF(M133&lt;=0,"Sí","No")</f>
        <v>No</v>
      </c>
      <c r="AR133" s="41"/>
    </row>
    <row r="134" ht="27.0" customHeight="1" outlineLevel="1">
      <c r="A134" s="111" t="s">
        <v>188</v>
      </c>
      <c r="B134" s="111" t="s">
        <v>500</v>
      </c>
      <c r="C134" s="112" t="s">
        <v>501</v>
      </c>
      <c r="D134" s="112"/>
      <c r="E134" s="111">
        <f t="array" ref="E134">INDEX(NLAB,MATCH(G134,FECHAS,0))-INDEX(NLAB,MATCH(F134,FECHAS,0))+1</f>
        <v>122</v>
      </c>
      <c r="F134" s="113">
        <f>MIN(F135:F163)</f>
        <v>46356</v>
      </c>
      <c r="G134" s="113">
        <f>MAX(G135:G163)</f>
        <v>46504</v>
      </c>
      <c r="H134" s="114"/>
      <c r="I134" s="112"/>
      <c r="J134" s="111" t="str">
        <f>IF(K134&gt;=1,"Completado",IF(AND(G134&lt;FECHA_ESTADO,K134&lt;1),"Atrasado",IF(K134&gt;0,"En progreso","No iniciado")))</f>
        <v>No iniciado</v>
      </c>
      <c r="K134" s="115">
        <f>IFERROR(SUMPRODUCT(--(C135:C163=""),E135:E163,K135:K163)/SUMPRODUCT(--(C135:C163=""),E135:E163),0)</f>
        <v>0</v>
      </c>
      <c r="L134" s="111"/>
      <c r="M134" s="111"/>
      <c r="N134" s="11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</row>
    <row r="135" ht="15.75" customHeight="1" outlineLevel="2">
      <c r="A135" s="116" t="s">
        <v>188</v>
      </c>
      <c r="B135" s="116" t="s">
        <v>502</v>
      </c>
      <c r="C135" s="117" t="s">
        <v>428</v>
      </c>
      <c r="D135" s="117"/>
      <c r="E135" s="116">
        <f t="array" ref="E135">INDEX(NLAB,MATCH(G135,FECHAS,0))-INDEX(NLAB,MATCH(F135,FECHAS,0))+1</f>
        <v>23</v>
      </c>
      <c r="F135" s="118">
        <f>MIN(F136:F141)</f>
        <v>46448</v>
      </c>
      <c r="G135" s="118">
        <f>MAX(G136:G141)</f>
        <v>46476</v>
      </c>
      <c r="H135" s="119"/>
      <c r="I135" s="117"/>
      <c r="J135" s="116" t="str">
        <f>IF(K135&gt;=1,"Completado",IF(AND(G135&lt;FECHA_ESTADO,K135&lt;1),"Atrasado",IF(K135&gt;0,"En progreso","No iniciado")))</f>
        <v>No iniciado</v>
      </c>
      <c r="K135" s="120">
        <f>IFERROR(SUMPRODUCT(--(C136:C141=""),E136:E141,K136:K141)/SUMPRODUCT(--(C136:C141=""),E136:E141),0)</f>
        <v>0</v>
      </c>
      <c r="L135" s="116"/>
      <c r="M135" s="116"/>
      <c r="N135" s="116"/>
      <c r="AN135" s="41"/>
      <c r="AO135" s="41"/>
      <c r="AP135" s="41"/>
      <c r="AQ135" s="41"/>
      <c r="AR135" s="41"/>
    </row>
    <row r="136" ht="15.75" customHeight="1" outlineLevel="3">
      <c r="A136" s="116" t="s">
        <v>188</v>
      </c>
      <c r="B136" s="116" t="s">
        <v>503</v>
      </c>
      <c r="C136" s="117" t="s">
        <v>430</v>
      </c>
      <c r="D136" s="117"/>
      <c r="E136" s="116">
        <f t="array" ref="E136">INDEX(NLAB,MATCH(G136,FECHAS,0))-INDEX(NLAB,MATCH(F136,FECHAS,0))+1</f>
        <v>6</v>
      </c>
      <c r="F136" s="118">
        <f>MIN(F137)</f>
        <v>46448</v>
      </c>
      <c r="G136" s="118">
        <f>MAX(G137)</f>
        <v>46454</v>
      </c>
      <c r="H136" s="119"/>
      <c r="I136" s="117"/>
      <c r="J136" s="116" t="str">
        <f>IF(K136&gt;=1,"Completado",IF(AND(G136&lt;FECHA_ESTADO,K136&lt;1),"Atrasado",IF(K136&gt;0,"En progreso","No iniciado")))</f>
        <v>No iniciado</v>
      </c>
      <c r="K136" s="120">
        <f>IFERROR(SUMPRODUCT(--(C137=""),E137,K137)/SUMPRODUCT(--(C137=""),E137),0)</f>
        <v>0</v>
      </c>
      <c r="L136" s="116"/>
      <c r="M136" s="116"/>
      <c r="N136" s="116"/>
      <c r="AN136" s="41"/>
      <c r="AO136" s="41"/>
    </row>
    <row r="137" ht="15.75" customHeight="1" outlineLevel="4">
      <c r="A137" s="91" t="s">
        <v>188</v>
      </c>
      <c r="B137" s="91" t="s">
        <v>504</v>
      </c>
      <c r="C137" s="11"/>
      <c r="D137" s="11" t="s">
        <v>432</v>
      </c>
      <c r="E137" s="92">
        <v>6.0</v>
      </c>
      <c r="F137" s="94">
        <f t="array" ref="F137">INDEX(FECHAS,MATCH(INDEX(NLAB,MATCH($F$154,FECHAS,0))-24,NLAB,0))</f>
        <v>46448</v>
      </c>
      <c r="G137" s="94">
        <f t="array" ref="G137">IF(E137=0,F137,INDEX(FECHAS,MATCH(INDEX(NLAB,MATCH(F137,FECHAS,0))+E137-1,NLAB,0)))</f>
        <v>46454</v>
      </c>
      <c r="H137" s="22" t="s">
        <v>336</v>
      </c>
      <c r="I137" s="11" t="s">
        <v>433</v>
      </c>
      <c r="J137" s="91" t="str">
        <f>IF(K137&gt;=1,"Completado",IF(G137&lt;FECHA_ESTADO,"Atrasado",IF(K137&gt;0,"En progreso","No iniciado")))</f>
        <v>No iniciado</v>
      </c>
      <c r="K137" s="95">
        <v>0.0</v>
      </c>
      <c r="L137" s="91">
        <f t="array" ref="L137">INDEX(NLAB,MATCH($F$139,FECHAS,0))-1-INDEX(NLAB,MATCH(G137,FECHAS,0))</f>
        <v>0</v>
      </c>
      <c r="M137" s="91">
        <v>15.0</v>
      </c>
      <c r="N137" s="91" t="str">
        <f>IF(M137&lt;=0,"Sí","No")</f>
        <v>No</v>
      </c>
      <c r="AN137" s="41"/>
      <c r="AO137" s="41"/>
    </row>
    <row r="138" ht="15.75" customHeight="1" outlineLevel="3">
      <c r="A138" s="116" t="s">
        <v>188</v>
      </c>
      <c r="B138" s="116" t="s">
        <v>505</v>
      </c>
      <c r="C138" s="117" t="s">
        <v>435</v>
      </c>
      <c r="D138" s="117"/>
      <c r="E138" s="116">
        <f t="array" ref="E138">INDEX(NLAB,MATCH(G138,FECHAS,0))-INDEX(NLAB,MATCH(F138,FECHAS,0))+1</f>
        <v>2</v>
      </c>
      <c r="F138" s="118">
        <f>MIN(F139)</f>
        <v>46455</v>
      </c>
      <c r="G138" s="118">
        <f>MAX(G139)</f>
        <v>46456</v>
      </c>
      <c r="H138" s="119"/>
      <c r="I138" s="117"/>
      <c r="J138" s="116" t="str">
        <f>IF(K138&gt;=1,"Completado",IF(AND(G138&lt;FECHA_ESTADO,K138&lt;1),"Atrasado",IF(K138&gt;0,"En progreso","No iniciado")))</f>
        <v>No iniciado</v>
      </c>
      <c r="K138" s="120">
        <f>IFERROR(SUMPRODUCT(--(C139=""),E139,K139)/SUMPRODUCT(--(C139=""),E139),0)</f>
        <v>0</v>
      </c>
      <c r="L138" s="116"/>
      <c r="M138" s="116"/>
      <c r="N138" s="116"/>
      <c r="AO138" s="41"/>
    </row>
    <row r="139" ht="27.0" customHeight="1" outlineLevel="4">
      <c r="A139" s="91" t="s">
        <v>188</v>
      </c>
      <c r="B139" s="91" t="s">
        <v>506</v>
      </c>
      <c r="C139" s="11"/>
      <c r="D139" s="11" t="s">
        <v>437</v>
      </c>
      <c r="E139" s="92">
        <v>2.0</v>
      </c>
      <c r="F139" s="94">
        <f t="array" ref="F139">INDEX(FECHAS,MATCH(INDEX(NLAB,MATCH($G$137,FECHAS,0))+1,NLAB,0))</f>
        <v>46455</v>
      </c>
      <c r="G139" s="94">
        <f t="array" ref="G139">IF(E139=0,F139,INDEX(FECHAS,MATCH(INDEX(NLAB,MATCH(F139,FECHAS,0))+E139-1,NLAB,0)))</f>
        <v>46456</v>
      </c>
      <c r="H139" s="22" t="s">
        <v>504</v>
      </c>
      <c r="I139" s="11" t="s">
        <v>438</v>
      </c>
      <c r="J139" s="91" t="str">
        <f>IF(K139&gt;=1,"Completado",IF(G139&lt;FECHA_ESTADO,"Atrasado",IF(K139&gt;0,"En progreso","No iniciado")))</f>
        <v>No iniciado</v>
      </c>
      <c r="K139" s="95">
        <v>0.0</v>
      </c>
      <c r="L139" s="91">
        <f t="array" ref="L139">INDEX(NLAB,MATCH($F$141,FECHAS,0))-1-INDEX(NLAB,MATCH(G139,FECHAS,0))</f>
        <v>14</v>
      </c>
      <c r="M139" s="91">
        <v>15.0</v>
      </c>
      <c r="N139" s="91" t="str">
        <f>IF(M139&lt;=0,"Sí","No")</f>
        <v>No</v>
      </c>
      <c r="AO139" s="41"/>
    </row>
    <row r="140" ht="15.75" customHeight="1" outlineLevel="3">
      <c r="A140" s="116" t="s">
        <v>188</v>
      </c>
      <c r="B140" s="116" t="s">
        <v>507</v>
      </c>
      <c r="C140" s="117" t="s">
        <v>440</v>
      </c>
      <c r="D140" s="117"/>
      <c r="E140" s="116">
        <f t="array" ref="E140">INDEX(NLAB,MATCH(G140,FECHAS,0))-INDEX(NLAB,MATCH(F140,FECHAS,0))+1</f>
        <v>1</v>
      </c>
      <c r="F140" s="118">
        <f>MIN(F141)</f>
        <v>46476</v>
      </c>
      <c r="G140" s="118">
        <f>MAX(G141)</f>
        <v>46476</v>
      </c>
      <c r="H140" s="119"/>
      <c r="I140" s="117"/>
      <c r="J140" s="116" t="str">
        <f>IF(K140&gt;=1,"Completado",IF(AND(G140&lt;FECHA_ESTADO,K140&lt;1),"Atrasado",IF(K140&gt;0,"En progreso","No iniciado")))</f>
        <v>No iniciado</v>
      </c>
      <c r="K140" s="120">
        <f>IFERROR(SUMPRODUCT(--(C141=""),E141,K141)/SUMPRODUCT(--(C141=""),E141),0)</f>
        <v>0</v>
      </c>
      <c r="L140" s="116"/>
      <c r="M140" s="116"/>
      <c r="N140" s="116"/>
      <c r="AR140" s="41"/>
    </row>
    <row r="141" ht="15.75" customHeight="1" outlineLevel="4">
      <c r="A141" s="91" t="s">
        <v>188</v>
      </c>
      <c r="B141" s="91" t="s">
        <v>508</v>
      </c>
      <c r="C141" s="11"/>
      <c r="D141" s="11" t="s">
        <v>442</v>
      </c>
      <c r="E141" s="92">
        <v>1.0</v>
      </c>
      <c r="F141" s="94">
        <f t="array" ref="F141">INDEX(FECHAS,MATCH(INDEX(NLAB,MATCH($F$154,FECHAS,0))-2,NLAB,0))</f>
        <v>46476</v>
      </c>
      <c r="G141" s="94">
        <f t="array" ref="G141">IF(E141=0,F141,INDEX(FECHAS,MATCH(INDEX(NLAB,MATCH(F141,FECHAS,0))+E141-1,NLAB,0)))</f>
        <v>46476</v>
      </c>
      <c r="H141" s="22" t="s">
        <v>506</v>
      </c>
      <c r="I141" s="11" t="s">
        <v>443</v>
      </c>
      <c r="J141" s="91" t="str">
        <f>IF(K141&gt;=1,"Completado",IF(G141&lt;FECHA_ESTADO,"Atrasado",IF(K141&gt;0,"En progreso","No iniciado")))</f>
        <v>No iniciado</v>
      </c>
      <c r="K141" s="95">
        <v>0.0</v>
      </c>
      <c r="L141" s="91">
        <f t="array" ref="L141">INDEX(NLAB,MATCH($F$154,FECHAS,0))-1-INDEX(NLAB,MATCH(G141,FECHAS,0))</f>
        <v>1</v>
      </c>
      <c r="M141" s="91">
        <v>1.0</v>
      </c>
      <c r="N141" s="91" t="str">
        <f>IF(M141&lt;=0,"Sí","No")</f>
        <v>No</v>
      </c>
      <c r="AR141" s="41"/>
    </row>
    <row r="142" ht="15.75" customHeight="1" outlineLevel="2">
      <c r="A142" s="116" t="s">
        <v>188</v>
      </c>
      <c r="B142" s="116" t="s">
        <v>509</v>
      </c>
      <c r="C142" s="117" t="s">
        <v>445</v>
      </c>
      <c r="D142" s="117"/>
      <c r="E142" s="116">
        <f t="array" ref="E142">INDEX(NLAB,MATCH(G142,FECHAS,0))-INDEX(NLAB,MATCH(F142,FECHAS,0))+1</f>
        <v>116</v>
      </c>
      <c r="F142" s="118">
        <f>MIN(F143:F147)</f>
        <v>46356</v>
      </c>
      <c r="G142" s="118">
        <f>MAX(G143:G147)</f>
        <v>46497</v>
      </c>
      <c r="H142" s="119"/>
      <c r="I142" s="117"/>
      <c r="J142" s="116" t="str">
        <f>IF(K142&gt;=1,"Completado",IF(AND(G142&lt;FECHA_ESTADO,K142&lt;1),"Atrasado",IF(K142&gt;0,"En progreso","No iniciado")))</f>
        <v>No iniciado</v>
      </c>
      <c r="K142" s="120">
        <f>IFERROR(SUMPRODUCT(--(C143:C147=""),E143:E147,K143:K147)/SUMPRODUCT(--(C143:C147=""),E143:E147),0)</f>
        <v>0</v>
      </c>
      <c r="L142" s="116"/>
      <c r="M142" s="116"/>
      <c r="N142" s="116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</row>
    <row r="143" ht="27.0" customHeight="1" outlineLevel="3">
      <c r="A143" s="91" t="s">
        <v>188</v>
      </c>
      <c r="B143" s="91" t="s">
        <v>510</v>
      </c>
      <c r="C143" s="11"/>
      <c r="D143" s="11" t="s">
        <v>511</v>
      </c>
      <c r="E143" s="92">
        <v>6.0</v>
      </c>
      <c r="F143" s="121">
        <v>46391.0</v>
      </c>
      <c r="G143" s="94">
        <f t="array" ref="G143">IF(E143=0,F143,INDEX(FECHAS,MATCH(INDEX(NLAB,MATCH(F143,FECHAS,0))+E143-1,NLAB,0)))</f>
        <v>46396</v>
      </c>
      <c r="H143" s="22" t="s">
        <v>448</v>
      </c>
      <c r="I143" s="11" t="s">
        <v>449</v>
      </c>
      <c r="J143" s="91" t="str">
        <f>IF(K143&gt;=1,"Completado",IF(G143&lt;FECHA_ESTADO,"Atrasado",IF(K143&gt;0,"En progreso","No iniciado")))</f>
        <v>No iniciado</v>
      </c>
      <c r="K143" s="95">
        <v>0.0</v>
      </c>
      <c r="L143" s="91">
        <f t="array" ref="L143">MIN(INDEX(NLAB,MATCH($F$145,FECHAS,0))-1,INDEX(NLAB,MATCH(DATE(2027,1,15),FECHAS,0)))-INDEX(NLAB,MATCH(G143,FECHAS,0))</f>
        <v>5</v>
      </c>
      <c r="M143" s="91">
        <v>5.0</v>
      </c>
      <c r="N143" s="91" t="str">
        <f t="shared" ref="N143:N146" si="68">IF(M143&lt;=0,"Sí","No")</f>
        <v>No</v>
      </c>
      <c r="AF143" s="41"/>
    </row>
    <row r="144" ht="27.0" customHeight="1" outlineLevel="3">
      <c r="A144" s="91" t="s">
        <v>188</v>
      </c>
      <c r="B144" s="91" t="s">
        <v>512</v>
      </c>
      <c r="C144" s="11"/>
      <c r="D144" s="11" t="s">
        <v>513</v>
      </c>
      <c r="E144" s="92">
        <v>10.0</v>
      </c>
      <c r="F144" s="121">
        <v>46356.0</v>
      </c>
      <c r="G144" s="94">
        <f t="array" ref="G144">IF(E144=0,F144,INDEX(FECHAS,MATCH(INDEX(NLAB,MATCH(F144,FECHAS,0))+E144-1,NLAB,0)))</f>
        <v>46368</v>
      </c>
      <c r="H144" s="22" t="s">
        <v>452</v>
      </c>
      <c r="I144" s="11" t="s">
        <v>266</v>
      </c>
      <c r="J144" s="91" t="str">
        <f>IF(K144&gt;=1,"Completado",IF(G144&lt;FECHA_ESTADO,"Atrasado",IF(K144&gt;0,"En progreso","No iniciado")))</f>
        <v>No iniciado</v>
      </c>
      <c r="K144" s="95">
        <v>0.0</v>
      </c>
      <c r="L144" s="91">
        <f t="array" ref="L144">MIN(INDEX(NLAB,MATCH($F$145,FECHAS,0))-1,INDEX(NLAB,MATCH($F$151,FECHAS,0))-1,INDEX(NLAB,MATCH(DATE(2027,2,5),FECHAS,0)))-INDEX(NLAB,MATCH(G144,FECHAS,0))</f>
        <v>22</v>
      </c>
      <c r="M144" s="91">
        <v>37.0</v>
      </c>
      <c r="N144" s="91" t="str">
        <f t="shared" si="68"/>
        <v>No</v>
      </c>
      <c r="AA144" s="41"/>
      <c r="AB144" s="41"/>
    </row>
    <row r="145" ht="27.0" customHeight="1" outlineLevel="3">
      <c r="A145" s="91" t="s">
        <v>188</v>
      </c>
      <c r="B145" s="91" t="s">
        <v>514</v>
      </c>
      <c r="C145" s="11"/>
      <c r="D145" s="11" t="s">
        <v>454</v>
      </c>
      <c r="E145" s="92">
        <v>1.0</v>
      </c>
      <c r="F145" s="94">
        <f t="array" ref="F145">INDEX(FECHAS,MATCH(INDEX(NLAB,MATCH($F$154,FECHAS,0))-14,NLAB,0))</f>
        <v>46459</v>
      </c>
      <c r="G145" s="94">
        <f t="array" ref="G145">IF(E145=0,F145,INDEX(FECHAS,MATCH(INDEX(NLAB,MATCH(F145,FECHAS,0))+E145-1,NLAB,0)))</f>
        <v>46459</v>
      </c>
      <c r="H145" s="22" t="s">
        <v>515</v>
      </c>
      <c r="I145" s="11" t="s">
        <v>449</v>
      </c>
      <c r="J145" s="91" t="str">
        <f>IF(K145&gt;=1,"Completado",IF(G145&lt;FECHA_ESTADO,"Atrasado",IF(K145&gt;0,"En progreso","No iniciado")))</f>
        <v>No iniciado</v>
      </c>
      <c r="K145" s="95">
        <v>0.0</v>
      </c>
      <c r="L145" s="91">
        <f t="array" ref="L145">INDEX(NLAB,MATCH($F$146,FECHAS,0))-1-INDEX(NLAB,MATCH(G145,FECHAS,0))</f>
        <v>10</v>
      </c>
      <c r="M145" s="91">
        <v>12.0</v>
      </c>
      <c r="N145" s="91" t="str">
        <f t="shared" si="68"/>
        <v>No</v>
      </c>
      <c r="AO145" s="41"/>
    </row>
    <row r="146" ht="27.0" customHeight="1" outlineLevel="3">
      <c r="A146" s="91" t="s">
        <v>188</v>
      </c>
      <c r="B146" s="91" t="s">
        <v>516</v>
      </c>
      <c r="C146" s="11"/>
      <c r="D146" s="11" t="s">
        <v>457</v>
      </c>
      <c r="E146" s="92">
        <v>1.0</v>
      </c>
      <c r="F146" s="94">
        <f t="array" ref="F146">INDEX(FECHAS,MATCH(INDEX(NLAB,MATCH($F$154,FECHAS,0))-3,NLAB,0))</f>
        <v>46475</v>
      </c>
      <c r="G146" s="94">
        <f t="array" ref="G146">IF(E146=0,F146,INDEX(FECHAS,MATCH(INDEX(NLAB,MATCH(F146,FECHAS,0))+E146-1,NLAB,0)))</f>
        <v>46475</v>
      </c>
      <c r="H146" s="22" t="s">
        <v>514</v>
      </c>
      <c r="I146" s="11" t="s">
        <v>458</v>
      </c>
      <c r="J146" s="91" t="str">
        <f>IF(K146&gt;=1,"Completado",IF(G146&lt;FECHA_ESTADO,"Atrasado",IF(K146&gt;0,"En progreso","No iniciado")))</f>
        <v>No iniciado</v>
      </c>
      <c r="K146" s="95">
        <v>0.0</v>
      </c>
      <c r="L146" s="91">
        <f t="array" ref="L146">INDEX(NLAB,MATCH($F$154,FECHAS,0))-1-INDEX(NLAB,MATCH(G146,FECHAS,0))</f>
        <v>2</v>
      </c>
      <c r="M146" s="91">
        <v>2.0</v>
      </c>
      <c r="N146" s="91" t="str">
        <f t="shared" si="68"/>
        <v>No</v>
      </c>
      <c r="AR146" s="41"/>
    </row>
    <row r="147" ht="27.0" customHeight="1" outlineLevel="3">
      <c r="A147" s="91" t="s">
        <v>188</v>
      </c>
      <c r="B147" s="91" t="s">
        <v>517</v>
      </c>
      <c r="C147" s="11"/>
      <c r="D147" s="11" t="s">
        <v>460</v>
      </c>
      <c r="E147" s="91">
        <f t="array" ref="E147">INDEX(NLAB,MATCH(G147,FECHAS,0))-INDEX(NLAB,MATCH(F147,FECHAS,0))+1</f>
        <v>22</v>
      </c>
      <c r="F147" s="94">
        <f t="array" ref="F147">INDEX(FECHAS,MATCH(INDEX(NLAB,MATCH($F$154,FECHAS,0))-5,NLAB,0))</f>
        <v>46470</v>
      </c>
      <c r="G147" s="94">
        <f t="array" ref="G147">INDEX(FECHAS,MATCH(INDEX(NLAB,MATCH($F$160,FECHAS,0))-2,NLAB,0))</f>
        <v>46497</v>
      </c>
      <c r="H147" s="22" t="s">
        <v>512</v>
      </c>
      <c r="I147" s="11" t="s">
        <v>266</v>
      </c>
      <c r="J147" s="91" t="str">
        <f>IF(K147&gt;=1,"Completado",IF(G147&lt;FECHA_ESTADO,"Atrasado",IF(K147&gt;0,"En progreso","No iniciado")))</f>
        <v>No iniciado</v>
      </c>
      <c r="K147" s="95">
        <v>0.0</v>
      </c>
      <c r="L147" s="122" t="s">
        <v>148</v>
      </c>
      <c r="M147" s="122" t="s">
        <v>148</v>
      </c>
      <c r="N147" s="91" t="s">
        <v>377</v>
      </c>
      <c r="AQ147" s="41"/>
      <c r="AR147" s="41"/>
      <c r="AS147" s="41"/>
      <c r="AT147" s="41"/>
      <c r="AU147" s="41"/>
    </row>
    <row r="148" ht="15.75" customHeight="1" outlineLevel="2">
      <c r="A148" s="116" t="s">
        <v>188</v>
      </c>
      <c r="B148" s="116" t="s">
        <v>518</v>
      </c>
      <c r="C148" s="117" t="s">
        <v>462</v>
      </c>
      <c r="D148" s="117"/>
      <c r="E148" s="116">
        <f t="array" ref="E148">INDEX(NLAB,MATCH(G148,FECHAS,0))-INDEX(NLAB,MATCH(F148,FECHAS,0))+1</f>
        <v>19</v>
      </c>
      <c r="F148" s="118">
        <f>MIN(F149)</f>
        <v>46478</v>
      </c>
      <c r="G148" s="118">
        <f>MAX(G149)</f>
        <v>46499</v>
      </c>
      <c r="H148" s="119"/>
      <c r="I148" s="117"/>
      <c r="J148" s="116" t="str">
        <f>IF(K148&gt;=1,"Completado",IF(AND(G148&lt;FECHA_ESTADO,K148&lt;1),"Atrasado",IF(K148&gt;0,"En progreso","No iniciado")))</f>
        <v>No iniciado</v>
      </c>
      <c r="K148" s="120">
        <f>IFERROR(SUMPRODUCT(--(C149=""),E149,K149)/SUMPRODUCT(--(C149=""),E149),0)</f>
        <v>0</v>
      </c>
      <c r="L148" s="116"/>
      <c r="M148" s="116"/>
      <c r="N148" s="116"/>
      <c r="AR148" s="41"/>
      <c r="AS148" s="41"/>
      <c r="AT148" s="41"/>
      <c r="AU148" s="41"/>
    </row>
    <row r="149" ht="15.75" customHeight="1" outlineLevel="3">
      <c r="A149" s="91" t="s">
        <v>188</v>
      </c>
      <c r="B149" s="91" t="s">
        <v>519</v>
      </c>
      <c r="C149" s="11"/>
      <c r="D149" s="11" t="s">
        <v>464</v>
      </c>
      <c r="E149" s="91">
        <f t="array" ref="E149">INDEX(NLAB,MATCH(G149,FECHAS,0))-INDEX(NLAB,MATCH(F149,FECHAS,0))+1</f>
        <v>19</v>
      </c>
      <c r="F149" s="94">
        <f>$F$154</f>
        <v>46478</v>
      </c>
      <c r="G149" s="94">
        <f>$G$160</f>
        <v>46499</v>
      </c>
      <c r="H149" s="22" t="s">
        <v>391</v>
      </c>
      <c r="I149" s="11" t="s">
        <v>449</v>
      </c>
      <c r="J149" s="91" t="str">
        <f>IF(K149&gt;=1,"Completado",IF(G149&lt;FECHA_ESTADO,"Atrasado",IF(K149&gt;0,"En progreso","No iniciado")))</f>
        <v>No iniciado</v>
      </c>
      <c r="K149" s="95">
        <v>0.0</v>
      </c>
      <c r="L149" s="122" t="s">
        <v>148</v>
      </c>
      <c r="M149" s="122" t="s">
        <v>148</v>
      </c>
      <c r="N149" s="91" t="s">
        <v>377</v>
      </c>
      <c r="AR149" s="41"/>
      <c r="AS149" s="41"/>
      <c r="AT149" s="41"/>
      <c r="AU149" s="41"/>
    </row>
    <row r="150" ht="15.75" customHeight="1" outlineLevel="2">
      <c r="A150" s="116" t="s">
        <v>188</v>
      </c>
      <c r="B150" s="116" t="s">
        <v>520</v>
      </c>
      <c r="C150" s="117" t="s">
        <v>466</v>
      </c>
      <c r="D150" s="117"/>
      <c r="E150" s="116">
        <f t="array" ref="E150">INDEX(NLAB,MATCH(G150,FECHAS,0))-INDEX(NLAB,MATCH(F150,FECHAS,0))+1</f>
        <v>8</v>
      </c>
      <c r="F150" s="118">
        <f>MIN(F151:F152)</f>
        <v>46398</v>
      </c>
      <c r="G150" s="118">
        <f>MAX(G151:G152)</f>
        <v>46406</v>
      </c>
      <c r="H150" s="119"/>
      <c r="I150" s="117"/>
      <c r="J150" s="116" t="str">
        <f>IF(K150&gt;=1,"Completado",IF(AND(G150&lt;FECHA_ESTADO,K150&lt;1),"Atrasado",IF(K150&gt;0,"En progreso","No iniciado")))</f>
        <v>No iniciado</v>
      </c>
      <c r="K150" s="120">
        <f>IFERROR(SUMPRODUCT(--(C151:C152=""),E151:E152,K151:K152)/SUMPRODUCT(--(C151:C152=""),E151:E152),0)</f>
        <v>0</v>
      </c>
      <c r="L150" s="116"/>
      <c r="M150" s="116"/>
      <c r="N150" s="116"/>
      <c r="AG150" s="41"/>
      <c r="AH150" s="41"/>
    </row>
    <row r="151" ht="27.0" customHeight="1" outlineLevel="3">
      <c r="A151" s="91" t="s">
        <v>188</v>
      </c>
      <c r="B151" s="91" t="s">
        <v>521</v>
      </c>
      <c r="C151" s="11"/>
      <c r="D151" s="11" t="s">
        <v>468</v>
      </c>
      <c r="E151" s="92">
        <v>6.0</v>
      </c>
      <c r="F151" s="121">
        <v>46398.0</v>
      </c>
      <c r="G151" s="94">
        <f t="array" ref="G151">IF(E151=0,F151,INDEX(FECHAS,MATCH(INDEX(NLAB,MATCH(F151,FECHAS,0))+E151-1,NLAB,0)))</f>
        <v>46403</v>
      </c>
      <c r="H151" s="22" t="s">
        <v>522</v>
      </c>
      <c r="I151" s="11" t="s">
        <v>470</v>
      </c>
      <c r="J151" s="91" t="str">
        <f>IF(K151&gt;=1,"Completado",IF(G151&lt;FECHA_ESTADO,"Atrasado",IF(K151&gt;0,"En progreso","No iniciado")))</f>
        <v>No iniciado</v>
      </c>
      <c r="K151" s="95">
        <v>0.0</v>
      </c>
      <c r="L151" s="91">
        <f t="array" ref="L151">INDEX(NLAB,MATCH($F$152,FECHAS,0))-1-INDEX(NLAB,MATCH(G151,FECHAS,0))</f>
        <v>0</v>
      </c>
      <c r="M151" s="91">
        <v>15.0</v>
      </c>
      <c r="N151" s="91" t="str">
        <f t="shared" ref="N151:N152" si="69">IF(M151&lt;=0,"Sí","No")</f>
        <v>No</v>
      </c>
      <c r="AG151" s="41"/>
    </row>
    <row r="152" ht="27.0" customHeight="1" outlineLevel="3">
      <c r="A152" s="91" t="s">
        <v>188</v>
      </c>
      <c r="B152" s="91" t="s">
        <v>523</v>
      </c>
      <c r="C152" s="11"/>
      <c r="D152" s="11" t="s">
        <v>472</v>
      </c>
      <c r="E152" s="92">
        <v>2.0</v>
      </c>
      <c r="F152" s="94">
        <f t="array" ref="F152">INDEX(FECHAS,MATCH(INDEX(NLAB,MATCH($G$151,FECHAS,0))+1,NLAB,0))</f>
        <v>46405</v>
      </c>
      <c r="G152" s="94">
        <f t="array" ref="G152">IF(E152=0,F152,INDEX(FECHAS,MATCH(INDEX(NLAB,MATCH(F152,FECHAS,0))+E152-1,NLAB,0)))</f>
        <v>46406</v>
      </c>
      <c r="H152" s="22" t="s">
        <v>521</v>
      </c>
      <c r="I152" s="11" t="s">
        <v>473</v>
      </c>
      <c r="J152" s="91" t="str">
        <f>IF(K152&gt;=1,"Completado",IF(G152&lt;FECHA_ESTADO,"Atrasado",IF(K152&gt;0,"En progreso","No iniciado")))</f>
        <v>No iniciado</v>
      </c>
      <c r="K152" s="95">
        <v>0.0</v>
      </c>
      <c r="L152" s="91">
        <f t="array" ref="L152">MIN(INDEX(NLAB,MATCH($F$154,FECHAS,0))-1,INDEX(NLAB,MATCH(DATE(2027,2,5),FECHAS,0)))-INDEX(NLAB,MATCH(G152,FECHAS,0))</f>
        <v>15</v>
      </c>
      <c r="M152" s="91">
        <v>15.0</v>
      </c>
      <c r="N152" s="91" t="str">
        <f t="shared" si="69"/>
        <v>No</v>
      </c>
      <c r="AH152" s="41"/>
    </row>
    <row r="153" ht="15.75" customHeight="1" outlineLevel="2">
      <c r="A153" s="116" t="s">
        <v>188</v>
      </c>
      <c r="B153" s="116" t="s">
        <v>524</v>
      </c>
      <c r="C153" s="117" t="s">
        <v>475</v>
      </c>
      <c r="D153" s="117"/>
      <c r="E153" s="116">
        <f t="array" ref="E153">INDEX(NLAB,MATCH(G153,FECHAS,0))-INDEX(NLAB,MATCH(F153,FECHAS,0))+1</f>
        <v>23</v>
      </c>
      <c r="F153" s="118">
        <f>MIN(F154:F161)</f>
        <v>46478</v>
      </c>
      <c r="G153" s="118">
        <f>MAX(G154:G161)</f>
        <v>46504</v>
      </c>
      <c r="H153" s="119"/>
      <c r="I153" s="117"/>
      <c r="J153" s="116" t="str">
        <f>IF(K153&gt;=1,"Completado",IF(AND(G153&lt;FECHA_ESTADO,K153&lt;1),"Atrasado",IF(K153&gt;0,"En progreso","No iniciado")))</f>
        <v>No iniciado</v>
      </c>
      <c r="K153" s="120">
        <f>IFERROR(SUMPRODUCT(--(C154:C161=""),E154:E161,K154:K161)/SUMPRODUCT(--(C154:C161=""),E154:E161),0)</f>
        <v>0</v>
      </c>
      <c r="L153" s="116"/>
      <c r="M153" s="116"/>
      <c r="N153" s="116"/>
      <c r="AR153" s="41"/>
      <c r="AS153" s="41"/>
      <c r="AT153" s="41"/>
      <c r="AU153" s="41"/>
      <c r="AV153" s="41"/>
    </row>
    <row r="154" ht="15.75" customHeight="1" outlineLevel="3">
      <c r="A154" s="91" t="s">
        <v>188</v>
      </c>
      <c r="B154" s="122" t="s">
        <v>200</v>
      </c>
      <c r="C154" s="11"/>
      <c r="D154" s="11" t="s">
        <v>525</v>
      </c>
      <c r="E154" s="92">
        <v>1.0</v>
      </c>
      <c r="F154" s="93">
        <v>46478.0</v>
      </c>
      <c r="G154" s="94">
        <f t="array" ref="G154">IF(E154=0,F154,INDEX(FECHAS,MATCH(INDEX(NLAB,MATCH(F154,FECHAS,0))+E154-1,NLAB,0)))</f>
        <v>46478</v>
      </c>
      <c r="H154" s="22" t="s">
        <v>526</v>
      </c>
      <c r="I154" s="11" t="s">
        <v>478</v>
      </c>
      <c r="J154" s="91" t="str">
        <f>IF(K154&gt;=1,"Completado",IF(G154&lt;FECHA_ESTADO,"Atrasado",IF(K154&gt;0,"En progreso","No iniciado")))</f>
        <v>No iniciado</v>
      </c>
      <c r="K154" s="95">
        <v>0.0</v>
      </c>
      <c r="L154" s="91">
        <f t="array" ref="L154">INDEX(NLAB,MATCH($F$155,FECHAS,0))-1-INDEX(NLAB,MATCH(G154,FECHAS,0))</f>
        <v>1</v>
      </c>
      <c r="M154" s="91">
        <v>0.0</v>
      </c>
      <c r="N154" s="91" t="str">
        <f t="shared" ref="N154:N161" si="70">IF(M154&lt;=0,"Sí","No")</f>
        <v>Sí</v>
      </c>
      <c r="AR154" s="41"/>
    </row>
    <row r="155" ht="15.75" customHeight="1" outlineLevel="3">
      <c r="A155" s="91" t="s">
        <v>188</v>
      </c>
      <c r="B155" s="91" t="s">
        <v>527</v>
      </c>
      <c r="C155" s="11"/>
      <c r="D155" s="11" t="s">
        <v>528</v>
      </c>
      <c r="E155" s="92">
        <v>1.0</v>
      </c>
      <c r="F155" s="93">
        <v>46480.0</v>
      </c>
      <c r="G155" s="94">
        <f t="array" ref="G155">IF(E155=0,F155,INDEX(FECHAS,MATCH(INDEX(NLAB,MATCH(F155,FECHAS,0))+E155-1,NLAB,0)))</f>
        <v>46480</v>
      </c>
      <c r="H155" s="22" t="s">
        <v>200</v>
      </c>
      <c r="I155" s="11" t="s">
        <v>478</v>
      </c>
      <c r="J155" s="91" t="str">
        <f>IF(K155&gt;=1,"Completado",IF(G155&lt;FECHA_ESTADO,"Atrasado",IF(K155&gt;0,"En progreso","No iniciado")))</f>
        <v>No iniciado</v>
      </c>
      <c r="K155" s="95">
        <v>0.0</v>
      </c>
      <c r="L155" s="91">
        <f t="array" ref="L155">INDEX(NLAB,MATCH($F$156,FECHAS,0))-1-INDEX(NLAB,MATCH(G155,FECHAS,0))</f>
        <v>3</v>
      </c>
      <c r="M155" s="91">
        <v>0.0</v>
      </c>
      <c r="N155" s="91" t="str">
        <f t="shared" si="70"/>
        <v>Sí</v>
      </c>
      <c r="AR155" s="41"/>
    </row>
    <row r="156" ht="15.75" customHeight="1" outlineLevel="3">
      <c r="A156" s="91" t="s">
        <v>188</v>
      </c>
      <c r="B156" s="91" t="s">
        <v>529</v>
      </c>
      <c r="C156" s="11"/>
      <c r="D156" s="11" t="s">
        <v>530</v>
      </c>
      <c r="E156" s="92">
        <v>1.0</v>
      </c>
      <c r="F156" s="93">
        <v>46485.0</v>
      </c>
      <c r="G156" s="94">
        <f t="array" ref="G156">IF(E156=0,F156,INDEX(FECHAS,MATCH(INDEX(NLAB,MATCH(F156,FECHAS,0))+E156-1,NLAB,0)))</f>
        <v>46485</v>
      </c>
      <c r="H156" s="22" t="s">
        <v>527</v>
      </c>
      <c r="I156" s="11" t="s">
        <v>478</v>
      </c>
      <c r="J156" s="91" t="str">
        <f>IF(K156&gt;=1,"Completado",IF(G156&lt;FECHA_ESTADO,"Atrasado",IF(K156&gt;0,"En progreso","No iniciado")))</f>
        <v>No iniciado</v>
      </c>
      <c r="K156" s="95">
        <v>0.0</v>
      </c>
      <c r="L156" s="91">
        <f t="array" ref="L156">INDEX(NLAB,MATCH($F$157,FECHAS,0))-1-INDEX(NLAB,MATCH(G156,FECHAS,0))</f>
        <v>1</v>
      </c>
      <c r="M156" s="91">
        <v>0.0</v>
      </c>
      <c r="N156" s="91" t="str">
        <f t="shared" si="70"/>
        <v>Sí</v>
      </c>
      <c r="AS156" s="41"/>
    </row>
    <row r="157" ht="15.75" customHeight="1" outlineLevel="3">
      <c r="A157" s="91" t="s">
        <v>188</v>
      </c>
      <c r="B157" s="91" t="s">
        <v>531</v>
      </c>
      <c r="C157" s="11"/>
      <c r="D157" s="11" t="s">
        <v>532</v>
      </c>
      <c r="E157" s="92">
        <v>1.0</v>
      </c>
      <c r="F157" s="93">
        <v>46487.0</v>
      </c>
      <c r="G157" s="94">
        <f t="array" ref="G157">IF(E157=0,F157,INDEX(FECHAS,MATCH(INDEX(NLAB,MATCH(F157,FECHAS,0))+E157-1,NLAB,0)))</f>
        <v>46487</v>
      </c>
      <c r="H157" s="22" t="s">
        <v>529</v>
      </c>
      <c r="I157" s="11" t="s">
        <v>478</v>
      </c>
      <c r="J157" s="91" t="str">
        <f>IF(K157&gt;=1,"Completado",IF(G157&lt;FECHA_ESTADO,"Atrasado",IF(K157&gt;0,"En progreso","No iniciado")))</f>
        <v>No iniciado</v>
      </c>
      <c r="K157" s="95">
        <v>0.0</v>
      </c>
      <c r="L157" s="91">
        <f t="array" ref="L157">INDEX(NLAB,MATCH($F$158,FECHAS,0))-1-INDEX(NLAB,MATCH(G157,FECHAS,0))</f>
        <v>3</v>
      </c>
      <c r="M157" s="91">
        <v>0.0</v>
      </c>
      <c r="N157" s="91" t="str">
        <f t="shared" si="70"/>
        <v>Sí</v>
      </c>
      <c r="AS157" s="41"/>
    </row>
    <row r="158" ht="15.75" customHeight="1" outlineLevel="3">
      <c r="A158" s="91" t="s">
        <v>188</v>
      </c>
      <c r="B158" s="91" t="s">
        <v>533</v>
      </c>
      <c r="C158" s="11"/>
      <c r="D158" s="11" t="s">
        <v>534</v>
      </c>
      <c r="E158" s="92">
        <v>1.0</v>
      </c>
      <c r="F158" s="93">
        <v>46492.0</v>
      </c>
      <c r="G158" s="94">
        <f t="array" ref="G158">IF(E158=0,F158,INDEX(FECHAS,MATCH(INDEX(NLAB,MATCH(F158,FECHAS,0))+E158-1,NLAB,0)))</f>
        <v>46492</v>
      </c>
      <c r="H158" s="22" t="s">
        <v>531</v>
      </c>
      <c r="I158" s="11" t="s">
        <v>478</v>
      </c>
      <c r="J158" s="91" t="str">
        <f>IF(K158&gt;=1,"Completado",IF(G158&lt;FECHA_ESTADO,"Atrasado",IF(K158&gt;0,"En progreso","No iniciado")))</f>
        <v>No iniciado</v>
      </c>
      <c r="K158" s="95">
        <v>0.0</v>
      </c>
      <c r="L158" s="91">
        <f t="array" ref="L158">INDEX(NLAB,MATCH($F$159,FECHAS,0))-1-INDEX(NLAB,MATCH(G158,FECHAS,0))</f>
        <v>1</v>
      </c>
      <c r="M158" s="91">
        <v>0.0</v>
      </c>
      <c r="N158" s="91" t="str">
        <f t="shared" si="70"/>
        <v>Sí</v>
      </c>
      <c r="AT158" s="41"/>
    </row>
    <row r="159" ht="15.75" customHeight="1" outlineLevel="3">
      <c r="A159" s="91" t="s">
        <v>188</v>
      </c>
      <c r="B159" s="91" t="s">
        <v>535</v>
      </c>
      <c r="C159" s="11"/>
      <c r="D159" s="11" t="s">
        <v>536</v>
      </c>
      <c r="E159" s="92">
        <v>1.0</v>
      </c>
      <c r="F159" s="93">
        <v>46494.0</v>
      </c>
      <c r="G159" s="94">
        <f t="array" ref="G159">IF(E159=0,F159,INDEX(FECHAS,MATCH(INDEX(NLAB,MATCH(F159,FECHAS,0))+E159-1,NLAB,0)))</f>
        <v>46494</v>
      </c>
      <c r="H159" s="22" t="s">
        <v>533</v>
      </c>
      <c r="I159" s="11" t="s">
        <v>478</v>
      </c>
      <c r="J159" s="91" t="str">
        <f>IF(K159&gt;=1,"Completado",IF(G159&lt;FECHA_ESTADO,"Atrasado",IF(K159&gt;0,"En progreso","No iniciado")))</f>
        <v>No iniciado</v>
      </c>
      <c r="K159" s="95">
        <v>0.0</v>
      </c>
      <c r="L159" s="91">
        <f t="array" ref="L159">INDEX(NLAB,MATCH($F$160,FECHAS,0))-1-INDEX(NLAB,MATCH(G159,FECHAS,0))</f>
        <v>3</v>
      </c>
      <c r="M159" s="91">
        <v>0.0</v>
      </c>
      <c r="N159" s="91" t="str">
        <f t="shared" si="70"/>
        <v>Sí</v>
      </c>
      <c r="AT159" s="41"/>
    </row>
    <row r="160" ht="15.75" customHeight="1" outlineLevel="3">
      <c r="A160" s="91" t="s">
        <v>188</v>
      </c>
      <c r="B160" s="91" t="s">
        <v>537</v>
      </c>
      <c r="C160" s="11"/>
      <c r="D160" s="11" t="s">
        <v>538</v>
      </c>
      <c r="E160" s="92">
        <v>1.0</v>
      </c>
      <c r="F160" s="93">
        <v>46499.0</v>
      </c>
      <c r="G160" s="94">
        <f t="array" ref="G160">IF(E160=0,F160,INDEX(FECHAS,MATCH(INDEX(NLAB,MATCH(F160,FECHAS,0))+E160-1,NLAB,0)))</f>
        <v>46499</v>
      </c>
      <c r="H160" s="22" t="s">
        <v>535</v>
      </c>
      <c r="I160" s="11" t="s">
        <v>478</v>
      </c>
      <c r="J160" s="91" t="str">
        <f>IF(K160&gt;=1,"Completado",IF(G160&lt;FECHA_ESTADO,"Atrasado",IF(K160&gt;0,"En progreso","No iniciado")))</f>
        <v>No iniciado</v>
      </c>
      <c r="K160" s="95">
        <v>0.0</v>
      </c>
      <c r="L160" s="91">
        <f t="array" ref="L160">MIN(INDEX(NLAB,MATCH($F$161,FECHAS,0))-1,INDEX(NLAB,MATCH($F$163,FECHAS,0))-1,INDEX(NLAB,MATCH($F$244,FECHAS,0))-1)-INDEX(NLAB,MATCH(G160,FECHAS,0))</f>
        <v>1</v>
      </c>
      <c r="M160" s="91">
        <v>0.0</v>
      </c>
      <c r="N160" s="91" t="str">
        <f t="shared" si="70"/>
        <v>Sí</v>
      </c>
      <c r="AU160" s="41"/>
    </row>
    <row r="161" ht="27.0" customHeight="1" outlineLevel="3">
      <c r="A161" s="91" t="s">
        <v>188</v>
      </c>
      <c r="B161" s="91" t="s">
        <v>539</v>
      </c>
      <c r="C161" s="11"/>
      <c r="D161" s="11" t="s">
        <v>492</v>
      </c>
      <c r="E161" s="92">
        <v>2.0</v>
      </c>
      <c r="F161" s="94">
        <f t="array" ref="F161">INDEX(FECHAS,MATCH(INDEX(NLAB,MATCH($G$244,FECHAS,0))+1,NLAB,0))</f>
        <v>46503</v>
      </c>
      <c r="G161" s="94">
        <f t="array" ref="G161">IF(E161=0,F161,INDEX(FECHAS,MATCH(INDEX(NLAB,MATCH(F161,FECHAS,0))+E161-1,NLAB,0)))</f>
        <v>46504</v>
      </c>
      <c r="H161" s="22" t="s">
        <v>540</v>
      </c>
      <c r="I161" s="11" t="s">
        <v>494</v>
      </c>
      <c r="J161" s="91" t="str">
        <f>IF(K161&gt;=1,"Completado",IF(G161&lt;FECHA_ESTADO,"Atrasado",IF(K161&gt;0,"En progreso","No iniciado")))</f>
        <v>No iniciado</v>
      </c>
      <c r="K161" s="95">
        <v>0.0</v>
      </c>
      <c r="L161" s="91">
        <f t="array" ref="L161">INDEX(NLAB,MATCH($F$320,FECHAS,0))-1-INDEX(NLAB,MATCH(G161,FECHAS,0))</f>
        <v>0</v>
      </c>
      <c r="M161" s="91">
        <v>1.0</v>
      </c>
      <c r="N161" s="91" t="str">
        <f t="shared" si="70"/>
        <v>No</v>
      </c>
      <c r="AV161" s="41"/>
    </row>
    <row r="162" ht="15.75" customHeight="1" outlineLevel="2">
      <c r="A162" s="116" t="s">
        <v>188</v>
      </c>
      <c r="B162" s="116" t="s">
        <v>541</v>
      </c>
      <c r="C162" s="117" t="s">
        <v>496</v>
      </c>
      <c r="D162" s="117"/>
      <c r="E162" s="116">
        <f t="array" ref="E162">INDEX(NLAB,MATCH(G162,FECHAS,0))-INDEX(NLAB,MATCH(F162,FECHAS,0))+1</f>
        <v>1</v>
      </c>
      <c r="F162" s="118">
        <f>MIN(F163)</f>
        <v>46503</v>
      </c>
      <c r="G162" s="118">
        <f>MAX(G163)</f>
        <v>46503</v>
      </c>
      <c r="H162" s="119"/>
      <c r="I162" s="117"/>
      <c r="J162" s="116" t="str">
        <f>IF(K162&gt;=1,"Completado",IF(AND(G162&lt;FECHA_ESTADO,K162&lt;1),"Atrasado",IF(K162&gt;0,"En progreso","No iniciado")))</f>
        <v>No iniciado</v>
      </c>
      <c r="K162" s="120">
        <f>IFERROR(SUMPRODUCT(--(C163=""),E163,K163)/SUMPRODUCT(--(C163=""),E163),0)</f>
        <v>0</v>
      </c>
      <c r="L162" s="116"/>
      <c r="M162" s="116"/>
      <c r="N162" s="116"/>
      <c r="AV162" s="41"/>
    </row>
    <row r="163" ht="27.0" customHeight="1" outlineLevel="3">
      <c r="A163" s="91" t="s">
        <v>188</v>
      </c>
      <c r="B163" s="91" t="s">
        <v>542</v>
      </c>
      <c r="C163" s="11"/>
      <c r="D163" s="11" t="s">
        <v>498</v>
      </c>
      <c r="E163" s="92">
        <v>1.0</v>
      </c>
      <c r="F163" s="94">
        <f t="array" ref="F163">INDEX(FECHAS,MATCH(INDEX(NLAB,MATCH($G$244,FECHAS,0))+1,NLAB,0))</f>
        <v>46503</v>
      </c>
      <c r="G163" s="94">
        <f t="array" ref="G163">IF(E163=0,F163,INDEX(FECHAS,MATCH(INDEX(NLAB,MATCH(F163,FECHAS,0))+E163-1,NLAB,0)))</f>
        <v>46503</v>
      </c>
      <c r="H163" s="22" t="s">
        <v>540</v>
      </c>
      <c r="I163" s="11" t="s">
        <v>499</v>
      </c>
      <c r="J163" s="91" t="str">
        <f>IF(K163&gt;=1,"Completado",IF(G163&lt;FECHA_ESTADO,"Atrasado",IF(K163&gt;0,"En progreso","No iniciado")))</f>
        <v>No iniciado</v>
      </c>
      <c r="K163" s="95">
        <v>0.0</v>
      </c>
      <c r="L163" s="91">
        <f t="array" ref="L163">INDEX(NLAB,MATCH($F$320,FECHAS,0))-1-INDEX(NLAB,MATCH(G163,FECHAS,0))</f>
        <v>1</v>
      </c>
      <c r="M163" s="91">
        <v>2.0</v>
      </c>
      <c r="N163" s="91" t="str">
        <f>IF(M163&lt;=0,"Sí","No")</f>
        <v>No</v>
      </c>
      <c r="AV163" s="41"/>
    </row>
    <row r="164" ht="27.0" customHeight="1" outlineLevel="1">
      <c r="A164" s="111" t="s">
        <v>188</v>
      </c>
      <c r="B164" s="111" t="s">
        <v>543</v>
      </c>
      <c r="C164" s="112" t="s">
        <v>544</v>
      </c>
      <c r="D164" s="112"/>
      <c r="E164" s="111">
        <f t="array" ref="E164">INDEX(NLAB,MATCH(G164,FECHAS,0))-INDEX(NLAB,MATCH(F164,FECHAS,0))+1</f>
        <v>164</v>
      </c>
      <c r="F164" s="113">
        <f>MIN(F165:F194)</f>
        <v>46370</v>
      </c>
      <c r="G164" s="113">
        <f>MAX(G165:G194)</f>
        <v>46568</v>
      </c>
      <c r="H164" s="114"/>
      <c r="I164" s="112"/>
      <c r="J164" s="111" t="str">
        <f>IF(K164&gt;=1,"Completado",IF(AND(G164&lt;FECHA_ESTADO,K164&lt;1),"Atrasado",IF(K164&gt;0,"En progreso","No iniciado")))</f>
        <v>No iniciado</v>
      </c>
      <c r="K164" s="115">
        <f>IFERROR(SUMPRODUCT(--(C165:C194=""),E165:E194,K165:K194)/SUMPRODUCT(--(C165:C194=""),E165:E194),0)</f>
        <v>0</v>
      </c>
      <c r="L164" s="111"/>
      <c r="M164" s="111"/>
      <c r="N164" s="11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  <c r="BC164" s="41"/>
      <c r="BD164" s="41"/>
      <c r="BE164" s="41"/>
    </row>
    <row r="165" ht="15.75" customHeight="1" outlineLevel="2">
      <c r="A165" s="116" t="s">
        <v>188</v>
      </c>
      <c r="B165" s="116" t="s">
        <v>545</v>
      </c>
      <c r="C165" s="117" t="s">
        <v>428</v>
      </c>
      <c r="D165" s="117"/>
      <c r="E165" s="116">
        <f t="array" ref="E165">INDEX(NLAB,MATCH(G165,FECHAS,0))-INDEX(NLAB,MATCH(F165,FECHAS,0))+1</f>
        <v>23</v>
      </c>
      <c r="F165" s="118">
        <f>MIN(F166:F171)</f>
        <v>46513</v>
      </c>
      <c r="G165" s="118">
        <f>MAX(G166:G171)</f>
        <v>46539</v>
      </c>
      <c r="H165" s="119"/>
      <c r="I165" s="117"/>
      <c r="J165" s="116" t="str">
        <f>IF(K165&gt;=1,"Completado",IF(AND(G165&lt;FECHA_ESTADO,K165&lt;1),"Atrasado",IF(K165&gt;0,"En progreso","No iniciado")))</f>
        <v>No iniciado</v>
      </c>
      <c r="K165" s="120">
        <f>IFERROR(SUMPRODUCT(--(C166:C171=""),E166:E171,K166:K171)/SUMPRODUCT(--(C166:C171=""),E166:E171),0)</f>
        <v>0</v>
      </c>
      <c r="L165" s="116"/>
      <c r="M165" s="116"/>
      <c r="N165" s="116"/>
      <c r="AW165" s="41"/>
      <c r="AX165" s="41"/>
      <c r="AY165" s="41"/>
      <c r="AZ165" s="41"/>
      <c r="BA165" s="41"/>
    </row>
    <row r="166" ht="15.75" customHeight="1" outlineLevel="3">
      <c r="A166" s="116" t="s">
        <v>188</v>
      </c>
      <c r="B166" s="116" t="s">
        <v>546</v>
      </c>
      <c r="C166" s="117" t="s">
        <v>430</v>
      </c>
      <c r="D166" s="117"/>
      <c r="E166" s="116">
        <f t="array" ref="E166">INDEX(NLAB,MATCH(G166,FECHAS,0))-INDEX(NLAB,MATCH(F166,FECHAS,0))+1</f>
        <v>6</v>
      </c>
      <c r="F166" s="118">
        <f>MIN(F167)</f>
        <v>46513</v>
      </c>
      <c r="G166" s="118">
        <f>MAX(G167)</f>
        <v>46519</v>
      </c>
      <c r="H166" s="119"/>
      <c r="I166" s="117"/>
      <c r="J166" s="116" t="str">
        <f>IF(K166&gt;=1,"Completado",IF(AND(G166&lt;FECHA_ESTADO,K166&lt;1),"Atrasado",IF(K166&gt;0,"En progreso","No iniciado")))</f>
        <v>No iniciado</v>
      </c>
      <c r="K166" s="120">
        <f>IFERROR(SUMPRODUCT(--(C167=""),E167,K167)/SUMPRODUCT(--(C167=""),E167),0)</f>
        <v>0</v>
      </c>
      <c r="L166" s="116"/>
      <c r="M166" s="116"/>
      <c r="N166" s="116"/>
      <c r="AW166" s="41"/>
      <c r="AX166" s="41"/>
    </row>
    <row r="167" ht="15.75" customHeight="1" outlineLevel="4">
      <c r="A167" s="91" t="s">
        <v>188</v>
      </c>
      <c r="B167" s="91" t="s">
        <v>547</v>
      </c>
      <c r="C167" s="11"/>
      <c r="D167" s="11" t="s">
        <v>432</v>
      </c>
      <c r="E167" s="92">
        <v>6.0</v>
      </c>
      <c r="F167" s="94">
        <f t="array" ref="F167">INDEX(FECHAS,MATCH(INDEX(NLAB,MATCH($F$184,FECHAS,0))-24,NLAB,0))</f>
        <v>46513</v>
      </c>
      <c r="G167" s="94">
        <f t="array" ref="G167">IF(E167=0,F167,INDEX(FECHAS,MATCH(INDEX(NLAB,MATCH(F167,FECHAS,0))+E167-1,NLAB,0)))</f>
        <v>46519</v>
      </c>
      <c r="H167" s="22" t="s">
        <v>336</v>
      </c>
      <c r="I167" s="11" t="s">
        <v>433</v>
      </c>
      <c r="J167" s="91" t="str">
        <f>IF(K167&gt;=1,"Completado",IF(G167&lt;FECHA_ESTADO,"Atrasado",IF(K167&gt;0,"En progreso","No iniciado")))</f>
        <v>No iniciado</v>
      </c>
      <c r="K167" s="95">
        <v>0.0</v>
      </c>
      <c r="L167" s="91">
        <f t="array" ref="L167">INDEX(NLAB,MATCH($F$169,FECHAS,0))-1-INDEX(NLAB,MATCH(G167,FECHAS,0))</f>
        <v>0</v>
      </c>
      <c r="M167" s="91">
        <v>15.0</v>
      </c>
      <c r="N167" s="91" t="str">
        <f>IF(M167&lt;=0,"Sí","No")</f>
        <v>No</v>
      </c>
      <c r="AW167" s="41"/>
      <c r="AX167" s="41"/>
    </row>
    <row r="168" ht="15.75" customHeight="1" outlineLevel="3">
      <c r="A168" s="116" t="s">
        <v>188</v>
      </c>
      <c r="B168" s="116" t="s">
        <v>548</v>
      </c>
      <c r="C168" s="117" t="s">
        <v>435</v>
      </c>
      <c r="D168" s="117"/>
      <c r="E168" s="116">
        <f t="array" ref="E168">INDEX(NLAB,MATCH(G168,FECHAS,0))-INDEX(NLAB,MATCH(F168,FECHAS,0))+1</f>
        <v>2</v>
      </c>
      <c r="F168" s="118">
        <f>MIN(F169)</f>
        <v>46520</v>
      </c>
      <c r="G168" s="118">
        <f>MAX(G169)</f>
        <v>46521</v>
      </c>
      <c r="H168" s="119"/>
      <c r="I168" s="117"/>
      <c r="J168" s="116" t="str">
        <f>IF(K168&gt;=1,"Completado",IF(AND(G168&lt;FECHA_ESTADO,K168&lt;1),"Atrasado",IF(K168&gt;0,"En progreso","No iniciado")))</f>
        <v>No iniciado</v>
      </c>
      <c r="K168" s="120">
        <f>IFERROR(SUMPRODUCT(--(C169=""),E169,K169)/SUMPRODUCT(--(C169=""),E169),0)</f>
        <v>0</v>
      </c>
      <c r="L168" s="116"/>
      <c r="M168" s="116"/>
      <c r="N168" s="116"/>
      <c r="AX168" s="41"/>
    </row>
    <row r="169" ht="27.0" customHeight="1" outlineLevel="4">
      <c r="A169" s="91" t="s">
        <v>188</v>
      </c>
      <c r="B169" s="91" t="s">
        <v>549</v>
      </c>
      <c r="C169" s="11"/>
      <c r="D169" s="11" t="s">
        <v>437</v>
      </c>
      <c r="E169" s="92">
        <v>2.0</v>
      </c>
      <c r="F169" s="94">
        <f t="array" ref="F169">INDEX(FECHAS,MATCH(INDEX(NLAB,MATCH($G$167,FECHAS,0))+1,NLAB,0))</f>
        <v>46520</v>
      </c>
      <c r="G169" s="94">
        <f t="array" ref="G169">IF(E169=0,F169,INDEX(FECHAS,MATCH(INDEX(NLAB,MATCH(F169,FECHAS,0))+E169-1,NLAB,0)))</f>
        <v>46521</v>
      </c>
      <c r="H169" s="22" t="s">
        <v>547</v>
      </c>
      <c r="I169" s="11" t="s">
        <v>438</v>
      </c>
      <c r="J169" s="91" t="str">
        <f>IF(K169&gt;=1,"Completado",IF(G169&lt;FECHA_ESTADO,"Atrasado",IF(K169&gt;0,"En progreso","No iniciado")))</f>
        <v>No iniciado</v>
      </c>
      <c r="K169" s="95">
        <v>0.0</v>
      </c>
      <c r="L169" s="91">
        <f t="array" ref="L169">INDEX(NLAB,MATCH($F$171,FECHAS,0))-1-INDEX(NLAB,MATCH(G169,FECHAS,0))</f>
        <v>14</v>
      </c>
      <c r="M169" s="91">
        <v>15.0</v>
      </c>
      <c r="N169" s="91" t="str">
        <f>IF(M169&lt;=0,"Sí","No")</f>
        <v>No</v>
      </c>
      <c r="AX169" s="41"/>
    </row>
    <row r="170" ht="15.75" customHeight="1" outlineLevel="3">
      <c r="A170" s="116" t="s">
        <v>188</v>
      </c>
      <c r="B170" s="116" t="s">
        <v>550</v>
      </c>
      <c r="C170" s="117" t="s">
        <v>440</v>
      </c>
      <c r="D170" s="117"/>
      <c r="E170" s="116">
        <f t="array" ref="E170">INDEX(NLAB,MATCH(G170,FECHAS,0))-INDEX(NLAB,MATCH(F170,FECHAS,0))+1</f>
        <v>1</v>
      </c>
      <c r="F170" s="118">
        <f>MIN(F171)</f>
        <v>46539</v>
      </c>
      <c r="G170" s="118">
        <f>MAX(G171)</f>
        <v>46539</v>
      </c>
      <c r="H170" s="119"/>
      <c r="I170" s="117"/>
      <c r="J170" s="116" t="str">
        <f>IF(K170&gt;=1,"Completado",IF(AND(G170&lt;FECHA_ESTADO,K170&lt;1),"Atrasado",IF(K170&gt;0,"En progreso","No iniciado")))</f>
        <v>No iniciado</v>
      </c>
      <c r="K170" s="120">
        <f>IFERROR(SUMPRODUCT(--(C171=""),E171,K171)/SUMPRODUCT(--(C171=""),E171),0)</f>
        <v>0</v>
      </c>
      <c r="L170" s="116"/>
      <c r="M170" s="116"/>
      <c r="N170" s="116"/>
      <c r="BA170" s="41"/>
    </row>
    <row r="171" ht="15.75" customHeight="1" outlineLevel="4">
      <c r="A171" s="91" t="s">
        <v>188</v>
      </c>
      <c r="B171" s="91" t="s">
        <v>551</v>
      </c>
      <c r="C171" s="11"/>
      <c r="D171" s="11" t="s">
        <v>442</v>
      </c>
      <c r="E171" s="92">
        <v>1.0</v>
      </c>
      <c r="F171" s="94">
        <f t="array" ref="F171">INDEX(FECHAS,MATCH(INDEX(NLAB,MATCH($F$184,FECHAS,0))-2,NLAB,0))</f>
        <v>46539</v>
      </c>
      <c r="G171" s="94">
        <f t="array" ref="G171">IF(E171=0,F171,INDEX(FECHAS,MATCH(INDEX(NLAB,MATCH(F171,FECHAS,0))+E171-1,NLAB,0)))</f>
        <v>46539</v>
      </c>
      <c r="H171" s="22" t="s">
        <v>549</v>
      </c>
      <c r="I171" s="11" t="s">
        <v>443</v>
      </c>
      <c r="J171" s="91" t="str">
        <f>IF(K171&gt;=1,"Completado",IF(G171&lt;FECHA_ESTADO,"Atrasado",IF(K171&gt;0,"En progreso","No iniciado")))</f>
        <v>No iniciado</v>
      </c>
      <c r="K171" s="95">
        <v>0.0</v>
      </c>
      <c r="L171" s="91">
        <f t="array" ref="L171">INDEX(NLAB,MATCH($F$184,FECHAS,0))-1-INDEX(NLAB,MATCH(G171,FECHAS,0))</f>
        <v>1</v>
      </c>
      <c r="M171" s="91">
        <v>1.0</v>
      </c>
      <c r="N171" s="91" t="str">
        <f>IF(M171&lt;=0,"Sí","No")</f>
        <v>No</v>
      </c>
      <c r="BA171" s="41"/>
    </row>
    <row r="172" ht="15.75" customHeight="1" outlineLevel="2">
      <c r="A172" s="116" t="s">
        <v>188</v>
      </c>
      <c r="B172" s="116" t="s">
        <v>552</v>
      </c>
      <c r="C172" s="117" t="s">
        <v>445</v>
      </c>
      <c r="D172" s="117"/>
      <c r="E172" s="116">
        <f t="array" ref="E172">INDEX(NLAB,MATCH(G172,FECHAS,0))-INDEX(NLAB,MATCH(F172,FECHAS,0))+1</f>
        <v>160</v>
      </c>
      <c r="F172" s="118">
        <f>MIN(F173:F177)</f>
        <v>46370</v>
      </c>
      <c r="G172" s="118">
        <f>MAX(G173:G177)</f>
        <v>46562</v>
      </c>
      <c r="H172" s="119"/>
      <c r="I172" s="117"/>
      <c r="J172" s="116" t="str">
        <f>IF(K172&gt;=1,"Completado",IF(AND(G172&lt;FECHA_ESTADO,K172&lt;1),"Atrasado",IF(K172&gt;0,"En progreso","No iniciado")))</f>
        <v>No iniciado</v>
      </c>
      <c r="K172" s="120">
        <f>IFERROR(SUMPRODUCT(--(C173:C177=""),E173:E177,K173:K177)/SUMPRODUCT(--(C173:C177=""),E173:E177),0)</f>
        <v>0</v>
      </c>
      <c r="L172" s="116"/>
      <c r="M172" s="116"/>
      <c r="N172" s="116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  <c r="BC172" s="41"/>
      <c r="BD172" s="41"/>
    </row>
    <row r="173" ht="27.0" customHeight="1" outlineLevel="3">
      <c r="A173" s="91" t="s">
        <v>188</v>
      </c>
      <c r="B173" s="91" t="s">
        <v>553</v>
      </c>
      <c r="C173" s="11"/>
      <c r="D173" s="11" t="s">
        <v>554</v>
      </c>
      <c r="E173" s="92">
        <v>6.0</v>
      </c>
      <c r="F173" s="121">
        <v>46391.0</v>
      </c>
      <c r="G173" s="94">
        <f t="array" ref="G173">IF(E173=0,F173,INDEX(FECHAS,MATCH(INDEX(NLAB,MATCH(F173,FECHAS,0))+E173-1,NLAB,0)))</f>
        <v>46396</v>
      </c>
      <c r="H173" s="22" t="s">
        <v>448</v>
      </c>
      <c r="I173" s="11" t="s">
        <v>449</v>
      </c>
      <c r="J173" s="91" t="str">
        <f>IF(K173&gt;=1,"Completado",IF(G173&lt;FECHA_ESTADO,"Atrasado",IF(K173&gt;0,"En progreso","No iniciado")))</f>
        <v>No iniciado</v>
      </c>
      <c r="K173" s="95">
        <v>0.0</v>
      </c>
      <c r="L173" s="91">
        <f t="array" ref="L173">MIN(INDEX(NLAB,MATCH($F$175,FECHAS,0))-1,INDEX(NLAB,MATCH(DATE(2027,1,15),FECHAS,0)))-INDEX(NLAB,MATCH(G173,FECHAS,0))</f>
        <v>5</v>
      </c>
      <c r="M173" s="91">
        <v>5.0</v>
      </c>
      <c r="N173" s="91" t="str">
        <f t="shared" ref="N173:N176" si="71">IF(M173&lt;=0,"Sí","No")</f>
        <v>No</v>
      </c>
      <c r="AF173" s="41"/>
    </row>
    <row r="174" ht="27.0" customHeight="1" outlineLevel="3">
      <c r="A174" s="91" t="s">
        <v>188</v>
      </c>
      <c r="B174" s="91" t="s">
        <v>555</v>
      </c>
      <c r="C174" s="11"/>
      <c r="D174" s="11" t="s">
        <v>556</v>
      </c>
      <c r="E174" s="92">
        <v>10.0</v>
      </c>
      <c r="F174" s="121">
        <v>46370.0</v>
      </c>
      <c r="G174" s="94">
        <f t="array" ref="G174">IF(E174=0,F174,INDEX(FECHAS,MATCH(INDEX(NLAB,MATCH(F174,FECHAS,0))+E174-1,NLAB,0)))</f>
        <v>46380</v>
      </c>
      <c r="H174" s="22" t="s">
        <v>452</v>
      </c>
      <c r="I174" s="11" t="s">
        <v>266</v>
      </c>
      <c r="J174" s="91" t="str">
        <f>IF(K174&gt;=1,"Completado",IF(G174&lt;FECHA_ESTADO,"Atrasado",IF(K174&gt;0,"En progreso","No iniciado")))</f>
        <v>No iniciado</v>
      </c>
      <c r="K174" s="95">
        <v>0.0</v>
      </c>
      <c r="L174" s="91">
        <f t="array" ref="L174">MIN(INDEX(NLAB,MATCH($F$175,FECHAS,0))-1,INDEX(NLAB,MATCH($F$181,FECHAS,0))-1,INDEX(NLAB,MATCH(DATE(2027,2,5),FECHAS,0)))-INDEX(NLAB,MATCH(G174,FECHAS,0))</f>
        <v>18</v>
      </c>
      <c r="M174" s="91">
        <v>27.0</v>
      </c>
      <c r="N174" s="91" t="str">
        <f t="shared" si="71"/>
        <v>No</v>
      </c>
      <c r="AC174" s="41"/>
      <c r="AD174" s="41"/>
    </row>
    <row r="175" ht="27.0" customHeight="1" outlineLevel="3">
      <c r="A175" s="91" t="s">
        <v>188</v>
      </c>
      <c r="B175" s="91" t="s">
        <v>557</v>
      </c>
      <c r="C175" s="11"/>
      <c r="D175" s="11" t="s">
        <v>454</v>
      </c>
      <c r="E175" s="92">
        <v>1.0</v>
      </c>
      <c r="F175" s="94">
        <f t="array" ref="F175">INDEX(FECHAS,MATCH(INDEX(NLAB,MATCH($F$184,FECHAS,0))-14,NLAB,0))</f>
        <v>46525</v>
      </c>
      <c r="G175" s="94">
        <f t="array" ref="G175">IF(E175=0,F175,INDEX(FECHAS,MATCH(INDEX(NLAB,MATCH(F175,FECHAS,0))+E175-1,NLAB,0)))</f>
        <v>46525</v>
      </c>
      <c r="H175" s="22" t="s">
        <v>558</v>
      </c>
      <c r="I175" s="11" t="s">
        <v>449</v>
      </c>
      <c r="J175" s="91" t="str">
        <f>IF(K175&gt;=1,"Completado",IF(G175&lt;FECHA_ESTADO,"Atrasado",IF(K175&gt;0,"En progreso","No iniciado")))</f>
        <v>No iniciado</v>
      </c>
      <c r="K175" s="95">
        <v>0.0</v>
      </c>
      <c r="L175" s="91">
        <f t="array" ref="L175">INDEX(NLAB,MATCH($F$176,FECHAS,0))-1-INDEX(NLAB,MATCH(G175,FECHAS,0))</f>
        <v>10</v>
      </c>
      <c r="M175" s="91">
        <v>12.0</v>
      </c>
      <c r="N175" s="91" t="str">
        <f t="shared" si="71"/>
        <v>No</v>
      </c>
      <c r="AY175" s="41"/>
    </row>
    <row r="176" ht="27.0" customHeight="1" outlineLevel="3">
      <c r="A176" s="91" t="s">
        <v>188</v>
      </c>
      <c r="B176" s="91" t="s">
        <v>559</v>
      </c>
      <c r="C176" s="11"/>
      <c r="D176" s="11" t="s">
        <v>457</v>
      </c>
      <c r="E176" s="92">
        <v>1.0</v>
      </c>
      <c r="F176" s="94">
        <f t="array" ref="F176">INDEX(FECHAS,MATCH(INDEX(NLAB,MATCH($F$184,FECHAS,0))-3,NLAB,0))</f>
        <v>46538</v>
      </c>
      <c r="G176" s="94">
        <f t="array" ref="G176">IF(E176=0,F176,INDEX(FECHAS,MATCH(INDEX(NLAB,MATCH(F176,FECHAS,0))+E176-1,NLAB,0)))</f>
        <v>46538</v>
      </c>
      <c r="H176" s="22" t="s">
        <v>557</v>
      </c>
      <c r="I176" s="11" t="s">
        <v>458</v>
      </c>
      <c r="J176" s="91" t="str">
        <f>IF(K176&gt;=1,"Completado",IF(G176&lt;FECHA_ESTADO,"Atrasado",IF(K176&gt;0,"En progreso","No iniciado")))</f>
        <v>No iniciado</v>
      </c>
      <c r="K176" s="95">
        <v>0.0</v>
      </c>
      <c r="L176" s="91">
        <f t="array" ref="L176">INDEX(NLAB,MATCH($F$184,FECHAS,0))-1-INDEX(NLAB,MATCH(G176,FECHAS,0))</f>
        <v>2</v>
      </c>
      <c r="M176" s="91">
        <v>2.0</v>
      </c>
      <c r="N176" s="91" t="str">
        <f t="shared" si="71"/>
        <v>No</v>
      </c>
      <c r="BA176" s="41"/>
    </row>
    <row r="177" ht="27.0" customHeight="1" outlineLevel="3">
      <c r="A177" s="91" t="s">
        <v>188</v>
      </c>
      <c r="B177" s="91" t="s">
        <v>560</v>
      </c>
      <c r="C177" s="11"/>
      <c r="D177" s="11" t="s">
        <v>460</v>
      </c>
      <c r="E177" s="91">
        <f t="array" ref="E177">INDEX(NLAB,MATCH(G177,FECHAS,0))-INDEX(NLAB,MATCH(F177,FECHAS,0))+1</f>
        <v>23</v>
      </c>
      <c r="F177" s="94">
        <f t="array" ref="F177">INDEX(FECHAS,MATCH(INDEX(NLAB,MATCH($F$184,FECHAS,0))-5,NLAB,0))</f>
        <v>46535</v>
      </c>
      <c r="G177" s="94">
        <f t="array" ref="G177">INDEX(FECHAS,MATCH(INDEX(NLAB,MATCH($F$191,FECHAS,0))-2,NLAB,0))</f>
        <v>46562</v>
      </c>
      <c r="H177" s="22" t="s">
        <v>555</v>
      </c>
      <c r="I177" s="11" t="s">
        <v>266</v>
      </c>
      <c r="J177" s="91" t="str">
        <f>IF(K177&gt;=1,"Completado",IF(G177&lt;FECHA_ESTADO,"Atrasado",IF(K177&gt;0,"En progreso","No iniciado")))</f>
        <v>No iniciado</v>
      </c>
      <c r="K177" s="95">
        <v>0.0</v>
      </c>
      <c r="L177" s="122" t="s">
        <v>148</v>
      </c>
      <c r="M177" s="122" t="s">
        <v>148</v>
      </c>
      <c r="N177" s="91" t="s">
        <v>377</v>
      </c>
      <c r="AZ177" s="41"/>
      <c r="BA177" s="41"/>
      <c r="BB177" s="41"/>
      <c r="BC177" s="41"/>
      <c r="BD177" s="41"/>
    </row>
    <row r="178" ht="15.75" customHeight="1" outlineLevel="2">
      <c r="A178" s="116" t="s">
        <v>188</v>
      </c>
      <c r="B178" s="116" t="s">
        <v>561</v>
      </c>
      <c r="C178" s="117" t="s">
        <v>462</v>
      </c>
      <c r="D178" s="117"/>
      <c r="E178" s="116">
        <f t="array" ref="E178">INDEX(NLAB,MATCH(G178,FECHAS,0))-INDEX(NLAB,MATCH(F178,FECHAS,0))+1</f>
        <v>20</v>
      </c>
      <c r="F178" s="118">
        <f>MIN(F179)</f>
        <v>46541</v>
      </c>
      <c r="G178" s="118">
        <f>MAX(G179)</f>
        <v>46564</v>
      </c>
      <c r="H178" s="119"/>
      <c r="I178" s="117"/>
      <c r="J178" s="116" t="str">
        <f>IF(K178&gt;=1,"Completado",IF(AND(G178&lt;FECHA_ESTADO,K178&lt;1),"Atrasado",IF(K178&gt;0,"En progreso","No iniciado")))</f>
        <v>No iniciado</v>
      </c>
      <c r="K178" s="120">
        <f>IFERROR(SUMPRODUCT(--(C179=""),E179,K179)/SUMPRODUCT(--(C179=""),E179),0)</f>
        <v>0</v>
      </c>
      <c r="L178" s="116"/>
      <c r="M178" s="116"/>
      <c r="N178" s="116"/>
      <c r="BA178" s="41"/>
      <c r="BB178" s="41"/>
      <c r="BC178" s="41"/>
      <c r="BD178" s="41"/>
    </row>
    <row r="179" ht="15.75" customHeight="1" outlineLevel="3">
      <c r="A179" s="91" t="s">
        <v>188</v>
      </c>
      <c r="B179" s="91" t="s">
        <v>562</v>
      </c>
      <c r="C179" s="11"/>
      <c r="D179" s="11" t="s">
        <v>464</v>
      </c>
      <c r="E179" s="91">
        <f t="array" ref="E179">INDEX(NLAB,MATCH(G179,FECHAS,0))-INDEX(NLAB,MATCH(F179,FECHAS,0))+1</f>
        <v>20</v>
      </c>
      <c r="F179" s="94">
        <f>$F$184</f>
        <v>46541</v>
      </c>
      <c r="G179" s="94">
        <f>$G$191</f>
        <v>46564</v>
      </c>
      <c r="H179" s="22" t="s">
        <v>391</v>
      </c>
      <c r="I179" s="11" t="s">
        <v>449</v>
      </c>
      <c r="J179" s="91" t="str">
        <f>IF(K179&gt;=1,"Completado",IF(G179&lt;FECHA_ESTADO,"Atrasado",IF(K179&gt;0,"En progreso","No iniciado")))</f>
        <v>No iniciado</v>
      </c>
      <c r="K179" s="95">
        <v>0.0</v>
      </c>
      <c r="L179" s="122" t="s">
        <v>148</v>
      </c>
      <c r="M179" s="122" t="s">
        <v>148</v>
      </c>
      <c r="N179" s="91" t="s">
        <v>377</v>
      </c>
      <c r="BA179" s="41"/>
      <c r="BB179" s="41"/>
      <c r="BC179" s="41"/>
      <c r="BD179" s="41"/>
    </row>
    <row r="180" ht="15.75" customHeight="1" outlineLevel="2">
      <c r="A180" s="116" t="s">
        <v>188</v>
      </c>
      <c r="B180" s="116" t="s">
        <v>563</v>
      </c>
      <c r="C180" s="117" t="s">
        <v>466</v>
      </c>
      <c r="D180" s="117"/>
      <c r="E180" s="116">
        <f t="array" ref="E180">INDEX(NLAB,MATCH(G180,FECHAS,0))-INDEX(NLAB,MATCH(F180,FECHAS,0))+1</f>
        <v>8</v>
      </c>
      <c r="F180" s="118">
        <f>MIN(F181:F182)</f>
        <v>46405</v>
      </c>
      <c r="G180" s="118">
        <f>MAX(G181:G182)</f>
        <v>46413</v>
      </c>
      <c r="H180" s="119"/>
      <c r="I180" s="117"/>
      <c r="J180" s="116" t="str">
        <f>IF(K180&gt;=1,"Completado",IF(AND(G180&lt;FECHA_ESTADO,K180&lt;1),"Atrasado",IF(K180&gt;0,"En progreso","No iniciado")))</f>
        <v>No iniciado</v>
      </c>
      <c r="K180" s="120">
        <f>IFERROR(SUMPRODUCT(--(C181:C182=""),E181:E182,K181:K182)/SUMPRODUCT(--(C181:C182=""),E181:E182),0)</f>
        <v>0</v>
      </c>
      <c r="L180" s="116"/>
      <c r="M180" s="116"/>
      <c r="N180" s="116"/>
      <c r="AH180" s="41"/>
      <c r="AI180" s="41"/>
    </row>
    <row r="181" ht="27.0" customHeight="1" outlineLevel="3">
      <c r="A181" s="91" t="s">
        <v>188</v>
      </c>
      <c r="B181" s="91" t="s">
        <v>564</v>
      </c>
      <c r="C181" s="11"/>
      <c r="D181" s="11" t="s">
        <v>468</v>
      </c>
      <c r="E181" s="92">
        <v>6.0</v>
      </c>
      <c r="F181" s="121">
        <v>46405.0</v>
      </c>
      <c r="G181" s="94">
        <f t="array" ref="G181">IF(E181=0,F181,INDEX(FECHAS,MATCH(INDEX(NLAB,MATCH(F181,FECHAS,0))+E181-1,NLAB,0)))</f>
        <v>46410</v>
      </c>
      <c r="H181" s="22" t="s">
        <v>565</v>
      </c>
      <c r="I181" s="11" t="s">
        <v>470</v>
      </c>
      <c r="J181" s="91" t="str">
        <f>IF(K181&gt;=1,"Completado",IF(G181&lt;FECHA_ESTADO,"Atrasado",IF(K181&gt;0,"En progreso","No iniciado")))</f>
        <v>No iniciado</v>
      </c>
      <c r="K181" s="95">
        <v>0.0</v>
      </c>
      <c r="L181" s="91">
        <f t="array" ref="L181">INDEX(NLAB,MATCH($F$182,FECHAS,0))-1-INDEX(NLAB,MATCH(G181,FECHAS,0))</f>
        <v>0</v>
      </c>
      <c r="M181" s="91">
        <v>9.0</v>
      </c>
      <c r="N181" s="91" t="str">
        <f t="shared" ref="N181:N182" si="72">IF(M181&lt;=0,"Sí","No")</f>
        <v>No</v>
      </c>
      <c r="AH181" s="41"/>
    </row>
    <row r="182" ht="27.0" customHeight="1" outlineLevel="3">
      <c r="A182" s="91" t="s">
        <v>188</v>
      </c>
      <c r="B182" s="91" t="s">
        <v>566</v>
      </c>
      <c r="C182" s="11"/>
      <c r="D182" s="11" t="s">
        <v>472</v>
      </c>
      <c r="E182" s="92">
        <v>2.0</v>
      </c>
      <c r="F182" s="94">
        <f t="array" ref="F182">INDEX(FECHAS,MATCH(INDEX(NLAB,MATCH($G$181,FECHAS,0))+1,NLAB,0))</f>
        <v>46412</v>
      </c>
      <c r="G182" s="94">
        <f t="array" ref="G182">IF(E182=0,F182,INDEX(FECHAS,MATCH(INDEX(NLAB,MATCH(F182,FECHAS,0))+E182-1,NLAB,0)))</f>
        <v>46413</v>
      </c>
      <c r="H182" s="22" t="s">
        <v>564</v>
      </c>
      <c r="I182" s="11" t="s">
        <v>473</v>
      </c>
      <c r="J182" s="91" t="str">
        <f>IF(K182&gt;=1,"Completado",IF(G182&lt;FECHA_ESTADO,"Atrasado",IF(K182&gt;0,"En progreso","No iniciado")))</f>
        <v>No iniciado</v>
      </c>
      <c r="K182" s="95">
        <v>0.0</v>
      </c>
      <c r="L182" s="91">
        <f t="array" ref="L182">MIN(INDEX(NLAB,MATCH($F$184,FECHAS,0))-1,INDEX(NLAB,MATCH(DATE(2027,2,5),FECHAS,0)))-INDEX(NLAB,MATCH(G182,FECHAS,0))</f>
        <v>9</v>
      </c>
      <c r="M182" s="91">
        <v>9.0</v>
      </c>
      <c r="N182" s="91" t="str">
        <f t="shared" si="72"/>
        <v>No</v>
      </c>
      <c r="AI182" s="41"/>
    </row>
    <row r="183" ht="15.75" customHeight="1" outlineLevel="2">
      <c r="A183" s="116" t="s">
        <v>188</v>
      </c>
      <c r="B183" s="116" t="s">
        <v>567</v>
      </c>
      <c r="C183" s="117" t="s">
        <v>475</v>
      </c>
      <c r="D183" s="117"/>
      <c r="E183" s="116">
        <f t="array" ref="E183">INDEX(NLAB,MATCH(G183,FECHAS,0))-INDEX(NLAB,MATCH(F183,FECHAS,0))+1</f>
        <v>22</v>
      </c>
      <c r="F183" s="118">
        <f>MIN(F184:F192)</f>
        <v>46541</v>
      </c>
      <c r="G183" s="118">
        <f>MAX(G184:G192)</f>
        <v>46568</v>
      </c>
      <c r="H183" s="119"/>
      <c r="I183" s="117"/>
      <c r="J183" s="116" t="str">
        <f>IF(K183&gt;=1,"Completado",IF(AND(G183&lt;FECHA_ESTADO,K183&lt;1),"Atrasado",IF(K183&gt;0,"En progreso","No iniciado")))</f>
        <v>No iniciado</v>
      </c>
      <c r="K183" s="120">
        <f>IFERROR(SUMPRODUCT(--(C184:C192=""),E184:E192,K184:K192)/SUMPRODUCT(--(C184:C192=""),E184:E192),0)</f>
        <v>0</v>
      </c>
      <c r="L183" s="116"/>
      <c r="M183" s="116"/>
      <c r="N183" s="116"/>
      <c r="BA183" s="41"/>
      <c r="BB183" s="41"/>
      <c r="BC183" s="41"/>
      <c r="BD183" s="41"/>
      <c r="BE183" s="41"/>
    </row>
    <row r="184" ht="27.0" customHeight="1" outlineLevel="3">
      <c r="A184" s="91" t="s">
        <v>188</v>
      </c>
      <c r="B184" s="91" t="s">
        <v>568</v>
      </c>
      <c r="C184" s="11"/>
      <c r="D184" s="11" t="s">
        <v>569</v>
      </c>
      <c r="E184" s="92">
        <v>1.0</v>
      </c>
      <c r="F184" s="93">
        <v>46541.0</v>
      </c>
      <c r="G184" s="94">
        <f t="array" ref="G184">IF(E184=0,F184,INDEX(FECHAS,MATCH(INDEX(NLAB,MATCH(F184,FECHAS,0))+E184-1,NLAB,0)))</f>
        <v>46541</v>
      </c>
      <c r="H184" s="22" t="s">
        <v>570</v>
      </c>
      <c r="I184" s="11" t="s">
        <v>478</v>
      </c>
      <c r="J184" s="91" t="str">
        <f>IF(K184&gt;=1,"Completado",IF(G184&lt;FECHA_ESTADO,"Atrasado",IF(K184&gt;0,"En progreso","No iniciado")))</f>
        <v>No iniciado</v>
      </c>
      <c r="K184" s="95">
        <v>0.0</v>
      </c>
      <c r="L184" s="91">
        <f t="array" ref="L184">INDEX(NLAB,MATCH($F$185,FECHAS,0))-1-INDEX(NLAB,MATCH(G184,FECHAS,0))</f>
        <v>1</v>
      </c>
      <c r="M184" s="91">
        <v>0.0</v>
      </c>
      <c r="N184" s="91" t="str">
        <f t="shared" ref="N184:N192" si="73">IF(M184&lt;=0,"Sí","No")</f>
        <v>Sí</v>
      </c>
      <c r="BA184" s="41"/>
    </row>
    <row r="185" ht="15.75" customHeight="1" outlineLevel="3">
      <c r="A185" s="91" t="s">
        <v>188</v>
      </c>
      <c r="B185" s="91" t="s">
        <v>571</v>
      </c>
      <c r="C185" s="11"/>
      <c r="D185" s="11" t="s">
        <v>572</v>
      </c>
      <c r="E185" s="92">
        <v>1.0</v>
      </c>
      <c r="F185" s="93">
        <v>46543.0</v>
      </c>
      <c r="G185" s="94">
        <f t="array" ref="G185">IF(E185=0,F185,INDEX(FECHAS,MATCH(INDEX(NLAB,MATCH(F185,FECHAS,0))+E185-1,NLAB,0)))</f>
        <v>46543</v>
      </c>
      <c r="H185" s="22" t="s">
        <v>568</v>
      </c>
      <c r="I185" s="11" t="s">
        <v>478</v>
      </c>
      <c r="J185" s="91" t="str">
        <f>IF(K185&gt;=1,"Completado",IF(G185&lt;FECHA_ESTADO,"Atrasado",IF(K185&gt;0,"En progreso","No iniciado")))</f>
        <v>No iniciado</v>
      </c>
      <c r="K185" s="95">
        <v>0.0</v>
      </c>
      <c r="L185" s="91">
        <f t="array" ref="L185">INDEX(NLAB,MATCH($F$186,FECHAS,0))-1-INDEX(NLAB,MATCH(G185,FECHAS,0))</f>
        <v>2</v>
      </c>
      <c r="M185" s="91">
        <v>0.0</v>
      </c>
      <c r="N185" s="91" t="str">
        <f t="shared" si="73"/>
        <v>Sí</v>
      </c>
      <c r="BA185" s="41"/>
    </row>
    <row r="186" ht="15.75" customHeight="1" outlineLevel="3">
      <c r="A186" s="91" t="s">
        <v>188</v>
      </c>
      <c r="B186" s="91" t="s">
        <v>573</v>
      </c>
      <c r="C186" s="11"/>
      <c r="D186" s="11" t="s">
        <v>574</v>
      </c>
      <c r="E186" s="92">
        <v>1.0</v>
      </c>
      <c r="F186" s="93">
        <v>46548.0</v>
      </c>
      <c r="G186" s="94">
        <f t="array" ref="G186">IF(E186=0,F186,INDEX(FECHAS,MATCH(INDEX(NLAB,MATCH(F186,FECHAS,0))+E186-1,NLAB,0)))</f>
        <v>46548</v>
      </c>
      <c r="H186" s="22" t="s">
        <v>571</v>
      </c>
      <c r="I186" s="11" t="s">
        <v>478</v>
      </c>
      <c r="J186" s="91" t="str">
        <f>IF(K186&gt;=1,"Completado",IF(G186&lt;FECHA_ESTADO,"Atrasado",IF(K186&gt;0,"En progreso","No iniciado")))</f>
        <v>No iniciado</v>
      </c>
      <c r="K186" s="95">
        <v>0.0</v>
      </c>
      <c r="L186" s="91">
        <f t="array" ref="L186">INDEX(NLAB,MATCH($F$187,FECHAS,0))-1-INDEX(NLAB,MATCH(G186,FECHAS,0))</f>
        <v>1</v>
      </c>
      <c r="M186" s="91">
        <v>0.0</v>
      </c>
      <c r="N186" s="91" t="str">
        <f t="shared" si="73"/>
        <v>Sí</v>
      </c>
      <c r="BB186" s="41"/>
    </row>
    <row r="187" ht="15.75" customHeight="1" outlineLevel="3">
      <c r="A187" s="91" t="s">
        <v>188</v>
      </c>
      <c r="B187" s="91" t="s">
        <v>575</v>
      </c>
      <c r="C187" s="11"/>
      <c r="D187" s="11" t="s">
        <v>576</v>
      </c>
      <c r="E187" s="92">
        <v>1.0</v>
      </c>
      <c r="F187" s="93">
        <v>46550.0</v>
      </c>
      <c r="G187" s="94">
        <f t="array" ref="G187">IF(E187=0,F187,INDEX(FECHAS,MATCH(INDEX(NLAB,MATCH(F187,FECHAS,0))+E187-1,NLAB,0)))</f>
        <v>46550</v>
      </c>
      <c r="H187" s="22" t="s">
        <v>573</v>
      </c>
      <c r="I187" s="11" t="s">
        <v>478</v>
      </c>
      <c r="J187" s="91" t="str">
        <f>IF(K187&gt;=1,"Completado",IF(G187&lt;FECHA_ESTADO,"Atrasado",IF(K187&gt;0,"En progreso","No iniciado")))</f>
        <v>No iniciado</v>
      </c>
      <c r="K187" s="95">
        <v>0.0</v>
      </c>
      <c r="L187" s="91">
        <f t="array" ref="L187">INDEX(NLAB,MATCH($F$188,FECHAS,0))-1-INDEX(NLAB,MATCH(G187,FECHAS,0))</f>
        <v>3</v>
      </c>
      <c r="M187" s="91">
        <v>0.0</v>
      </c>
      <c r="N187" s="91" t="str">
        <f t="shared" si="73"/>
        <v>Sí</v>
      </c>
      <c r="BB187" s="41"/>
    </row>
    <row r="188" ht="15.75" customHeight="1" outlineLevel="3">
      <c r="A188" s="91" t="s">
        <v>188</v>
      </c>
      <c r="B188" s="91" t="s">
        <v>577</v>
      </c>
      <c r="C188" s="11"/>
      <c r="D188" s="11" t="s">
        <v>578</v>
      </c>
      <c r="E188" s="92">
        <v>1.0</v>
      </c>
      <c r="F188" s="93">
        <v>46555.0</v>
      </c>
      <c r="G188" s="94">
        <f t="array" ref="G188">IF(E188=0,F188,INDEX(FECHAS,MATCH(INDEX(NLAB,MATCH(F188,FECHAS,0))+E188-1,NLAB,0)))</f>
        <v>46555</v>
      </c>
      <c r="H188" s="22" t="s">
        <v>575</v>
      </c>
      <c r="I188" s="11" t="s">
        <v>478</v>
      </c>
      <c r="J188" s="91" t="str">
        <f>IF(K188&gt;=1,"Completado",IF(G188&lt;FECHA_ESTADO,"Atrasado",IF(K188&gt;0,"En progreso","No iniciado")))</f>
        <v>No iniciado</v>
      </c>
      <c r="K188" s="95">
        <v>0.0</v>
      </c>
      <c r="L188" s="91">
        <f t="array" ref="L188">INDEX(NLAB,MATCH($F$189,FECHAS,0))-1-INDEX(NLAB,MATCH(G188,FECHAS,0))</f>
        <v>1</v>
      </c>
      <c r="M188" s="91">
        <v>0.0</v>
      </c>
      <c r="N188" s="91" t="str">
        <f t="shared" si="73"/>
        <v>Sí</v>
      </c>
      <c r="BC188" s="41"/>
    </row>
    <row r="189" ht="15.75" customHeight="1" outlineLevel="3">
      <c r="A189" s="91" t="s">
        <v>188</v>
      </c>
      <c r="B189" s="91" t="s">
        <v>579</v>
      </c>
      <c r="C189" s="11"/>
      <c r="D189" s="11" t="s">
        <v>580</v>
      </c>
      <c r="E189" s="92">
        <v>1.0</v>
      </c>
      <c r="F189" s="93">
        <v>46557.0</v>
      </c>
      <c r="G189" s="94">
        <f t="array" ref="G189">IF(E189=0,F189,INDEX(FECHAS,MATCH(INDEX(NLAB,MATCH(F189,FECHAS,0))+E189-1,NLAB,0)))</f>
        <v>46557</v>
      </c>
      <c r="H189" s="22" t="s">
        <v>577</v>
      </c>
      <c r="I189" s="11" t="s">
        <v>478</v>
      </c>
      <c r="J189" s="91" t="str">
        <f>IF(K189&gt;=1,"Completado",IF(G189&lt;FECHA_ESTADO,"Atrasado",IF(K189&gt;0,"En progreso","No iniciado")))</f>
        <v>No iniciado</v>
      </c>
      <c r="K189" s="95">
        <v>0.0</v>
      </c>
      <c r="L189" s="91">
        <f t="array" ref="L189">INDEX(NLAB,MATCH($F$190,FECHAS,0))-1-INDEX(NLAB,MATCH(G189,FECHAS,0))</f>
        <v>3</v>
      </c>
      <c r="M189" s="91">
        <v>0.0</v>
      </c>
      <c r="N189" s="91" t="str">
        <f t="shared" si="73"/>
        <v>Sí</v>
      </c>
      <c r="BC189" s="41"/>
    </row>
    <row r="190" ht="15.75" customHeight="1" outlineLevel="3">
      <c r="A190" s="91" t="s">
        <v>188</v>
      </c>
      <c r="B190" s="91" t="s">
        <v>581</v>
      </c>
      <c r="C190" s="11"/>
      <c r="D190" s="11" t="s">
        <v>582</v>
      </c>
      <c r="E190" s="92">
        <v>1.0</v>
      </c>
      <c r="F190" s="93">
        <v>46562.0</v>
      </c>
      <c r="G190" s="94">
        <f t="array" ref="G190">IF(E190=0,F190,INDEX(FECHAS,MATCH(INDEX(NLAB,MATCH(F190,FECHAS,0))+E190-1,NLAB,0)))</f>
        <v>46562</v>
      </c>
      <c r="H190" s="22" t="s">
        <v>579</v>
      </c>
      <c r="I190" s="11" t="s">
        <v>478</v>
      </c>
      <c r="J190" s="91" t="str">
        <f>IF(K190&gt;=1,"Completado",IF(G190&lt;FECHA_ESTADO,"Atrasado",IF(K190&gt;0,"En progreso","No iniciado")))</f>
        <v>No iniciado</v>
      </c>
      <c r="K190" s="95">
        <v>0.0</v>
      </c>
      <c r="L190" s="91">
        <f t="array" ref="L190">INDEX(NLAB,MATCH($F$191,FECHAS,0))-1-INDEX(NLAB,MATCH(G190,FECHAS,0))</f>
        <v>1</v>
      </c>
      <c r="M190" s="91">
        <v>0.0</v>
      </c>
      <c r="N190" s="91" t="str">
        <f t="shared" si="73"/>
        <v>Sí</v>
      </c>
      <c r="BD190" s="41"/>
    </row>
    <row r="191" ht="27.0" customHeight="1" outlineLevel="3">
      <c r="A191" s="91" t="s">
        <v>188</v>
      </c>
      <c r="B191" s="91" t="s">
        <v>212</v>
      </c>
      <c r="C191" s="11"/>
      <c r="D191" s="11" t="s">
        <v>583</v>
      </c>
      <c r="E191" s="92">
        <v>1.0</v>
      </c>
      <c r="F191" s="93">
        <v>46564.0</v>
      </c>
      <c r="G191" s="94">
        <f t="array" ref="G191">IF(E191=0,F191,INDEX(FECHAS,MATCH(INDEX(NLAB,MATCH(F191,FECHAS,0))+E191-1,NLAB,0)))</f>
        <v>46564</v>
      </c>
      <c r="H191" s="22" t="s">
        <v>581</v>
      </c>
      <c r="I191" s="11" t="s">
        <v>478</v>
      </c>
      <c r="J191" s="91" t="str">
        <f>IF(K191&gt;=1,"Completado",IF(G191&lt;FECHA_ESTADO,"Atrasado",IF(K191&gt;0,"En progreso","No iniciado")))</f>
        <v>No iniciado</v>
      </c>
      <c r="K191" s="95">
        <v>0.0</v>
      </c>
      <c r="L191" s="91">
        <f t="array" ref="L191">MIN(INDEX(NLAB,MATCH($F$102,FECHAS,0))-1,INDEX(NLAB,MATCH($F$192,FECHAS,0))-1,INDEX(NLAB,MATCH($F$194,FECHAS,0))-1,INDEX(NLAB,MATCH($F$304,FECHAS,0))-1,INDEX(NLAB,MATCH(DATE(2027,6,26),FECHAS,0)))-INDEX(NLAB,MATCH(G191,FECHAS,0))</f>
        <v>0</v>
      </c>
      <c r="M191" s="91">
        <v>0.0</v>
      </c>
      <c r="N191" s="91" t="str">
        <f t="shared" si="73"/>
        <v>Sí</v>
      </c>
      <c r="BD191" s="41"/>
    </row>
    <row r="192" ht="27.0" customHeight="1" outlineLevel="3">
      <c r="A192" s="91" t="s">
        <v>188</v>
      </c>
      <c r="B192" s="91" t="s">
        <v>584</v>
      </c>
      <c r="C192" s="11"/>
      <c r="D192" s="11" t="s">
        <v>492</v>
      </c>
      <c r="E192" s="92">
        <v>2.0</v>
      </c>
      <c r="F192" s="94">
        <f t="array" ref="F192">INDEX(FECHAS,MATCH(INDEX(NLAB,MATCH($G$191,FECHAS,0))+1,NLAB,0))</f>
        <v>46566</v>
      </c>
      <c r="G192" s="94">
        <f t="array" ref="G192">IF(E192=0,F192,INDEX(FECHAS,MATCH(INDEX(NLAB,MATCH(F192,FECHAS,0))+E192-1,NLAB,0)))</f>
        <v>46568</v>
      </c>
      <c r="H192" s="22" t="s">
        <v>212</v>
      </c>
      <c r="I192" s="11" t="s">
        <v>494</v>
      </c>
      <c r="J192" s="91" t="str">
        <f>IF(K192&gt;=1,"Completado",IF(G192&lt;FECHA_ESTADO,"Atrasado",IF(K192&gt;0,"En progreso","No iniciado")))</f>
        <v>No iniciado</v>
      </c>
      <c r="K192" s="95">
        <v>0.0</v>
      </c>
      <c r="L192" s="91">
        <f t="array" ref="L192">INDEX(NLAB,MATCH($F$322,FECHAS,0))-1-INDEX(NLAB,MATCH(G192,FECHAS,0))</f>
        <v>0</v>
      </c>
      <c r="M192" s="91">
        <v>0.0</v>
      </c>
      <c r="N192" s="91" t="str">
        <f t="shared" si="73"/>
        <v>Sí</v>
      </c>
      <c r="BE192" s="41"/>
    </row>
    <row r="193" outlineLevel="2">
      <c r="A193" s="116" t="s">
        <v>188</v>
      </c>
      <c r="B193" s="116" t="s">
        <v>585</v>
      </c>
      <c r="C193" s="117" t="s">
        <v>496</v>
      </c>
      <c r="D193" s="117"/>
      <c r="E193" s="116">
        <f t="array" ref="E193">INDEX(NLAB,MATCH(G193,FECHAS,0))-INDEX(NLAB,MATCH(F193,FECHAS,0))+1</f>
        <v>1</v>
      </c>
      <c r="F193" s="118">
        <f>MIN(F194)</f>
        <v>46566</v>
      </c>
      <c r="G193" s="118">
        <f>MAX(G194)</f>
        <v>46566</v>
      </c>
      <c r="H193" s="119"/>
      <c r="I193" s="117"/>
      <c r="J193" s="116" t="str">
        <f>IF(K193&gt;=1,"Completado",IF(AND(G193&lt;FECHA_ESTADO,K193&lt;1),"Atrasado",IF(K193&gt;0,"En progreso","No iniciado")))</f>
        <v>No iniciado</v>
      </c>
      <c r="K193" s="120">
        <f>IFERROR(SUMPRODUCT(--(C194=""),E194,K194)/SUMPRODUCT(--(C194=""),E194),0)</f>
        <v>0</v>
      </c>
      <c r="L193" s="116"/>
      <c r="M193" s="116"/>
      <c r="N193" s="116"/>
      <c r="BE193" s="41"/>
    </row>
    <row r="194" ht="27.0" customHeight="1" outlineLevel="3">
      <c r="A194" s="91" t="s">
        <v>188</v>
      </c>
      <c r="B194" s="91" t="s">
        <v>586</v>
      </c>
      <c r="C194" s="11"/>
      <c r="D194" s="11" t="s">
        <v>498</v>
      </c>
      <c r="E194" s="92">
        <v>1.0</v>
      </c>
      <c r="F194" s="94">
        <f t="array" ref="F194">INDEX(FECHAS,MATCH(INDEX(NLAB,MATCH($G$191,FECHAS,0))+1,NLAB,0))</f>
        <v>46566</v>
      </c>
      <c r="G194" s="94">
        <f t="array" ref="G194">IF(E194=0,F194,INDEX(FECHAS,MATCH(INDEX(NLAB,MATCH(F194,FECHAS,0))+E194-1,NLAB,0)))</f>
        <v>46566</v>
      </c>
      <c r="H194" s="22" t="s">
        <v>212</v>
      </c>
      <c r="I194" s="11" t="s">
        <v>499</v>
      </c>
      <c r="J194" s="91" t="str">
        <f>IF(K194&gt;=1,"Completado",IF(G194&lt;FECHA_ESTADO,"Atrasado",IF(K194&gt;0,"En progreso","No iniciado")))</f>
        <v>No iniciado</v>
      </c>
      <c r="K194" s="95">
        <v>0.0</v>
      </c>
      <c r="L194" s="91">
        <f t="array" ref="L194">INDEX(NLAB,MATCH($F$322,FECHAS,0))-1-INDEX(NLAB,MATCH(G194,FECHAS,0))</f>
        <v>1</v>
      </c>
      <c r="M194" s="91">
        <v>1.0</v>
      </c>
      <c r="N194" s="91" t="str">
        <f>IF(M194&lt;=0,"Sí","No")</f>
        <v>No</v>
      </c>
      <c r="BE194" s="41"/>
    </row>
    <row r="195" outlineLevel="1">
      <c r="A195" s="111" t="s">
        <v>188</v>
      </c>
      <c r="B195" s="111" t="s">
        <v>587</v>
      </c>
      <c r="C195" s="112" t="s">
        <v>588</v>
      </c>
      <c r="D195" s="112"/>
      <c r="E195" s="111">
        <f t="array" ref="E195">INDEX(NLAB,MATCH(G195,FECHAS,0))-INDEX(NLAB,MATCH(F195,FECHAS,0))+1</f>
        <v>72</v>
      </c>
      <c r="F195" s="113">
        <f>MIN(F196:F221)</f>
        <v>46391</v>
      </c>
      <c r="G195" s="113">
        <f>MAX(G196:G221)</f>
        <v>46476</v>
      </c>
      <c r="H195" s="114"/>
      <c r="I195" s="112"/>
      <c r="J195" s="111" t="str">
        <f>IF(K195&gt;=1,"Completado",IF(AND(G195&lt;FECHA_ESTADO,K195&lt;1),"Atrasado",IF(K195&gt;0,"En progreso","No iniciado")))</f>
        <v>No iniciado</v>
      </c>
      <c r="K195" s="115">
        <f>IFERROR(SUMPRODUCT(--(C196:C221=""),E196:E221,K196:K221)/SUMPRODUCT(--(C196:C221=""),E196:E221),0)</f>
        <v>0</v>
      </c>
      <c r="L195" s="111"/>
      <c r="M195" s="111"/>
      <c r="N195" s="11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</row>
    <row r="196" ht="15.75" customHeight="1" outlineLevel="2">
      <c r="A196" s="116" t="s">
        <v>188</v>
      </c>
      <c r="B196" s="116" t="s">
        <v>589</v>
      </c>
      <c r="C196" s="117" t="s">
        <v>428</v>
      </c>
      <c r="D196" s="117"/>
      <c r="E196" s="116">
        <f t="array" ref="E196">INDEX(NLAB,MATCH(G196,FECHAS,0))-INDEX(NLAB,MATCH(F196,FECHAS,0))+1</f>
        <v>18</v>
      </c>
      <c r="F196" s="118">
        <f>MIN(F197:F202)</f>
        <v>46448</v>
      </c>
      <c r="G196" s="118">
        <f>MAX(G197:G202)</f>
        <v>46468</v>
      </c>
      <c r="H196" s="119"/>
      <c r="I196" s="117"/>
      <c r="J196" s="116" t="str">
        <f>IF(K196&gt;=1,"Completado",IF(AND(G196&lt;FECHA_ESTADO,K196&lt;1),"Atrasado",IF(K196&gt;0,"En progreso","No iniciado")))</f>
        <v>No iniciado</v>
      </c>
      <c r="K196" s="120">
        <f>IFERROR(SUMPRODUCT(--(C197:C202=""),E197:E202,K197:K202)/SUMPRODUCT(--(C197:C202=""),E197:E202),0)</f>
        <v>0</v>
      </c>
      <c r="L196" s="116"/>
      <c r="M196" s="116"/>
      <c r="N196" s="116"/>
      <c r="AN196" s="41"/>
      <c r="AO196" s="41"/>
      <c r="AP196" s="41"/>
      <c r="AQ196" s="41"/>
    </row>
    <row r="197" ht="15.75" customHeight="1" outlineLevel="3">
      <c r="A197" s="116" t="s">
        <v>188</v>
      </c>
      <c r="B197" s="116" t="s">
        <v>590</v>
      </c>
      <c r="C197" s="117" t="s">
        <v>430</v>
      </c>
      <c r="D197" s="117"/>
      <c r="E197" s="116">
        <f t="array" ref="E197">INDEX(NLAB,MATCH(G197,FECHAS,0))-INDEX(NLAB,MATCH(F197,FECHAS,0))+1</f>
        <v>6</v>
      </c>
      <c r="F197" s="118">
        <f>MIN(F198)</f>
        <v>46448</v>
      </c>
      <c r="G197" s="118">
        <f>MAX(G198)</f>
        <v>46454</v>
      </c>
      <c r="H197" s="119"/>
      <c r="I197" s="117"/>
      <c r="J197" s="116" t="str">
        <f>IF(K197&gt;=1,"Completado",IF(AND(G197&lt;FECHA_ESTADO,K197&lt;1),"Atrasado",IF(K197&gt;0,"En progreso","No iniciado")))</f>
        <v>No iniciado</v>
      </c>
      <c r="K197" s="120">
        <f>IFERROR(SUMPRODUCT(--(C198=""),E198,K198)/SUMPRODUCT(--(C198=""),E198),0)</f>
        <v>0</v>
      </c>
      <c r="L197" s="116"/>
      <c r="M197" s="116"/>
      <c r="N197" s="116"/>
      <c r="AN197" s="41"/>
      <c r="AO197" s="41"/>
    </row>
    <row r="198" ht="15.75" customHeight="1" outlineLevel="4">
      <c r="A198" s="91" t="s">
        <v>188</v>
      </c>
      <c r="B198" s="91" t="s">
        <v>591</v>
      </c>
      <c r="C198" s="11"/>
      <c r="D198" s="11" t="s">
        <v>432</v>
      </c>
      <c r="E198" s="92">
        <v>6.0</v>
      </c>
      <c r="F198" s="94">
        <f t="array" ref="F198">INDEX(FECHAS,MATCH(INDEX(NLAB,MATCH($F$216,FECHAS,0))-20,NLAB,0))</f>
        <v>46448</v>
      </c>
      <c r="G198" s="94">
        <f t="array" ref="G198">IF(E198=0,F198,INDEX(FECHAS,MATCH(INDEX(NLAB,MATCH(F198,FECHAS,0))+E198-1,NLAB,0)))</f>
        <v>46454</v>
      </c>
      <c r="H198" s="22" t="s">
        <v>336</v>
      </c>
      <c r="I198" s="11" t="s">
        <v>433</v>
      </c>
      <c r="J198" s="91" t="str">
        <f>IF(K198&gt;=1,"Completado",IF(G198&lt;FECHA_ESTADO,"Atrasado",IF(K198&gt;0,"En progreso","No iniciado")))</f>
        <v>No iniciado</v>
      </c>
      <c r="K198" s="95">
        <v>0.0</v>
      </c>
      <c r="L198" s="91">
        <f t="array" ref="L198">INDEX(NLAB,MATCH($F$200,FECHAS,0))-1-INDEX(NLAB,MATCH(G198,FECHAS,0))</f>
        <v>0</v>
      </c>
      <c r="M198" s="91">
        <v>11.0</v>
      </c>
      <c r="N198" s="91" t="str">
        <f>IF(M198&lt;=0,"Sí","No")</f>
        <v>No</v>
      </c>
      <c r="AN198" s="41"/>
      <c r="AO198" s="41"/>
    </row>
    <row r="199" ht="15.75" customHeight="1" outlineLevel="3">
      <c r="A199" s="116" t="s">
        <v>188</v>
      </c>
      <c r="B199" s="116" t="s">
        <v>592</v>
      </c>
      <c r="C199" s="117" t="s">
        <v>435</v>
      </c>
      <c r="D199" s="117"/>
      <c r="E199" s="116">
        <f t="array" ref="E199">INDEX(NLAB,MATCH(G199,FECHAS,0))-INDEX(NLAB,MATCH(F199,FECHAS,0))+1</f>
        <v>2</v>
      </c>
      <c r="F199" s="118">
        <f>MIN(F200)</f>
        <v>46455</v>
      </c>
      <c r="G199" s="118">
        <f>MAX(G200)</f>
        <v>46456</v>
      </c>
      <c r="H199" s="119"/>
      <c r="I199" s="117"/>
      <c r="J199" s="116" t="str">
        <f>IF(K199&gt;=1,"Completado",IF(AND(G199&lt;FECHA_ESTADO,K199&lt;1),"Atrasado",IF(K199&gt;0,"En progreso","No iniciado")))</f>
        <v>No iniciado</v>
      </c>
      <c r="K199" s="120">
        <f>IFERROR(SUMPRODUCT(--(C200=""),E200,K200)/SUMPRODUCT(--(C200=""),E200),0)</f>
        <v>0</v>
      </c>
      <c r="L199" s="116"/>
      <c r="M199" s="116"/>
      <c r="N199" s="116"/>
      <c r="AO199" s="41"/>
    </row>
    <row r="200" ht="27.0" customHeight="1" outlineLevel="4">
      <c r="A200" s="91" t="s">
        <v>188</v>
      </c>
      <c r="B200" s="91" t="s">
        <v>593</v>
      </c>
      <c r="C200" s="11"/>
      <c r="D200" s="11" t="s">
        <v>437</v>
      </c>
      <c r="E200" s="92">
        <v>2.0</v>
      </c>
      <c r="F200" s="94">
        <f t="array" ref="F200">INDEX(FECHAS,MATCH(INDEX(NLAB,MATCH($G$198,FECHAS,0))+1,NLAB,0))</f>
        <v>46455</v>
      </c>
      <c r="G200" s="94">
        <f t="array" ref="G200">IF(E200=0,F200,INDEX(FECHAS,MATCH(INDEX(NLAB,MATCH(F200,FECHAS,0))+E200-1,NLAB,0)))</f>
        <v>46456</v>
      </c>
      <c r="H200" s="22" t="s">
        <v>591</v>
      </c>
      <c r="I200" s="11" t="s">
        <v>438</v>
      </c>
      <c r="J200" s="91" t="str">
        <f>IF(K200&gt;=1,"Completado",IF(G200&lt;FECHA_ESTADO,"Atrasado",IF(K200&gt;0,"En progreso","No iniciado")))</f>
        <v>No iniciado</v>
      </c>
      <c r="K200" s="95">
        <v>0.0</v>
      </c>
      <c r="L200" s="91">
        <f t="array" ref="L200">INDEX(NLAB,MATCH($F$202,FECHAS,0))-1-INDEX(NLAB,MATCH(G200,FECHAS,0))</f>
        <v>9</v>
      </c>
      <c r="M200" s="91">
        <v>11.0</v>
      </c>
      <c r="N200" s="91" t="str">
        <f>IF(M200&lt;=0,"Sí","No")</f>
        <v>No</v>
      </c>
      <c r="AO200" s="41"/>
    </row>
    <row r="201" ht="15.75" customHeight="1" outlineLevel="3">
      <c r="A201" s="116" t="s">
        <v>188</v>
      </c>
      <c r="B201" s="116" t="s">
        <v>594</v>
      </c>
      <c r="C201" s="117" t="s">
        <v>440</v>
      </c>
      <c r="D201" s="117"/>
      <c r="E201" s="116">
        <f t="array" ref="E201">INDEX(NLAB,MATCH(G201,FECHAS,0))-INDEX(NLAB,MATCH(F201,FECHAS,0))+1</f>
        <v>1</v>
      </c>
      <c r="F201" s="118">
        <f>MIN(F202)</f>
        <v>46468</v>
      </c>
      <c r="G201" s="118">
        <f>MAX(G202)</f>
        <v>46468</v>
      </c>
      <c r="H201" s="119"/>
      <c r="I201" s="117"/>
      <c r="J201" s="116" t="str">
        <f>IF(K201&gt;=1,"Completado",IF(AND(G201&lt;FECHA_ESTADO,K201&lt;1),"Atrasado",IF(K201&gt;0,"En progreso","No iniciado")))</f>
        <v>No iniciado</v>
      </c>
      <c r="K201" s="120">
        <f>IFERROR(SUMPRODUCT(--(C202=""),E202,K202)/SUMPRODUCT(--(C202=""),E202),0)</f>
        <v>0</v>
      </c>
      <c r="L201" s="116"/>
      <c r="M201" s="116"/>
      <c r="N201" s="116"/>
      <c r="AQ201" s="41"/>
    </row>
    <row r="202" ht="15.75" customHeight="1" outlineLevel="4">
      <c r="A202" s="91" t="s">
        <v>188</v>
      </c>
      <c r="B202" s="91" t="s">
        <v>595</v>
      </c>
      <c r="C202" s="11"/>
      <c r="D202" s="11" t="s">
        <v>442</v>
      </c>
      <c r="E202" s="92">
        <v>1.0</v>
      </c>
      <c r="F202" s="94">
        <f t="array" ref="F202">INDEX(FECHAS,MATCH(INDEX(NLAB,MATCH($F$216,FECHAS,0))-3,NLAB,0))</f>
        <v>46468</v>
      </c>
      <c r="G202" s="94">
        <f t="array" ref="G202">IF(E202=0,F202,INDEX(FECHAS,MATCH(INDEX(NLAB,MATCH(F202,FECHAS,0))+E202-1,NLAB,0)))</f>
        <v>46468</v>
      </c>
      <c r="H202" s="22" t="s">
        <v>593</v>
      </c>
      <c r="I202" s="11" t="s">
        <v>443</v>
      </c>
      <c r="J202" s="91" t="str">
        <f>IF(K202&gt;=1,"Completado",IF(G202&lt;FECHA_ESTADO,"Atrasado",IF(K202&gt;0,"En progreso","No iniciado")))</f>
        <v>No iniciado</v>
      </c>
      <c r="K202" s="95">
        <v>0.0</v>
      </c>
      <c r="L202" s="91">
        <f t="array" ref="L202">INDEX(NLAB,MATCH($F$216,FECHAS,0))-1-INDEX(NLAB,MATCH(G202,FECHAS,0))</f>
        <v>2</v>
      </c>
      <c r="M202" s="91">
        <v>2.0</v>
      </c>
      <c r="N202" s="91" t="str">
        <f>IF(M202&lt;=0,"Sí","No")</f>
        <v>No</v>
      </c>
      <c r="AQ202" s="41"/>
    </row>
    <row r="203" ht="15.75" customHeight="1" outlineLevel="2">
      <c r="A203" s="116" t="s">
        <v>188</v>
      </c>
      <c r="B203" s="116" t="s">
        <v>596</v>
      </c>
      <c r="C203" s="117" t="s">
        <v>445</v>
      </c>
      <c r="D203" s="117"/>
      <c r="E203" s="116">
        <f t="array" ref="E203">INDEX(NLAB,MATCH(G203,FECHAS,0))-INDEX(NLAB,MATCH(F203,FECHAS,0))+1</f>
        <v>63</v>
      </c>
      <c r="F203" s="118">
        <f>MIN(F204:F207)</f>
        <v>46391</v>
      </c>
      <c r="G203" s="118">
        <f>MAX(G204:G207)</f>
        <v>46463</v>
      </c>
      <c r="H203" s="119"/>
      <c r="I203" s="117"/>
      <c r="J203" s="116" t="str">
        <f>IF(K203&gt;=1,"Completado",IF(AND(G203&lt;FECHA_ESTADO,K203&lt;1),"Atrasado",IF(K203&gt;0,"En progreso","No iniciado")))</f>
        <v>No iniciado</v>
      </c>
      <c r="K203" s="120">
        <f>IFERROR(SUMPRODUCT(--(C204:C207=""),E204:E207,K204:K207)/SUMPRODUCT(--(C204:C207=""),E204:E207),0)</f>
        <v>0</v>
      </c>
      <c r="L203" s="116"/>
      <c r="M203" s="116"/>
      <c r="N203" s="116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</row>
    <row r="204" ht="15.75" customHeight="1" outlineLevel="3">
      <c r="A204" s="91" t="s">
        <v>188</v>
      </c>
      <c r="B204" s="91" t="s">
        <v>597</v>
      </c>
      <c r="C204" s="11"/>
      <c r="D204" s="11" t="s">
        <v>598</v>
      </c>
      <c r="E204" s="92">
        <v>6.0</v>
      </c>
      <c r="F204" s="121">
        <v>46391.0</v>
      </c>
      <c r="G204" s="94">
        <f t="array" ref="G204">IF(E204=0,F204,INDEX(FECHAS,MATCH(INDEX(NLAB,MATCH(F204,FECHAS,0))+E204-1,NLAB,0)))</f>
        <v>46396</v>
      </c>
      <c r="H204" s="22" t="s">
        <v>448</v>
      </c>
      <c r="I204" s="11" t="s">
        <v>449</v>
      </c>
      <c r="J204" s="91" t="str">
        <f>IF(K204&gt;=1,"Completado",IF(G204&lt;FECHA_ESTADO,"Atrasado",IF(K204&gt;0,"En progreso","No iniciado")))</f>
        <v>No iniciado</v>
      </c>
      <c r="K204" s="95">
        <v>0.0</v>
      </c>
      <c r="L204" s="91">
        <f t="array" ref="L204">MIN(INDEX(NLAB,MATCH($F$206,FECHAS,0))-1,INDEX(NLAB,MATCH($F$207,FECHAS,0))-1,INDEX(NLAB,MATCH(DATE(2027,1,15),FECHAS,0)))-INDEX(NLAB,MATCH(G204,FECHAS,0))</f>
        <v>5</v>
      </c>
      <c r="M204" s="91">
        <v>5.0</v>
      </c>
      <c r="N204" s="91" t="str">
        <f t="shared" ref="N204:N207" si="74">IF(M204&lt;=0,"Sí","No")</f>
        <v>No</v>
      </c>
      <c r="AF204" s="41"/>
    </row>
    <row r="205" ht="15.75" customHeight="1" outlineLevel="3">
      <c r="A205" s="91" t="s">
        <v>188</v>
      </c>
      <c r="B205" s="91" t="s">
        <v>599</v>
      </c>
      <c r="C205" s="11"/>
      <c r="D205" s="11" t="s">
        <v>600</v>
      </c>
      <c r="E205" s="92">
        <v>6.0</v>
      </c>
      <c r="F205" s="121">
        <v>46391.0</v>
      </c>
      <c r="G205" s="94">
        <f t="array" ref="G205">IF(E205=0,F205,INDEX(FECHAS,MATCH(INDEX(NLAB,MATCH(F205,FECHAS,0))+E205-1,NLAB,0)))</f>
        <v>46396</v>
      </c>
      <c r="H205" s="22" t="s">
        <v>305</v>
      </c>
      <c r="I205" s="11" t="s">
        <v>266</v>
      </c>
      <c r="J205" s="91" t="str">
        <f>IF(K205&gt;=1,"Completado",IF(G205&lt;FECHA_ESTADO,"Atrasado",IF(K205&gt;0,"En progreso","No iniciado")))</f>
        <v>No iniciado</v>
      </c>
      <c r="K205" s="95">
        <v>0.0</v>
      </c>
      <c r="L205" s="91">
        <f t="array" ref="L205">MIN(INDEX(NLAB,MATCH($F$206,FECHAS,0))-1,INDEX(NLAB,MATCH($F$209,FECHAS,0))-1,INDEX(NLAB,MATCH(DATE(2027,2,5),FECHAS,0)))-INDEX(NLAB,MATCH(G205,FECHAS,0))</f>
        <v>0</v>
      </c>
      <c r="M205" s="91">
        <v>15.0</v>
      </c>
      <c r="N205" s="91" t="str">
        <f t="shared" si="74"/>
        <v>No</v>
      </c>
      <c r="AF205" s="41"/>
    </row>
    <row r="206" ht="27.0" customHeight="1" outlineLevel="3">
      <c r="A206" s="91" t="s">
        <v>188</v>
      </c>
      <c r="B206" s="91" t="s">
        <v>601</v>
      </c>
      <c r="C206" s="11"/>
      <c r="D206" s="11" t="s">
        <v>602</v>
      </c>
      <c r="E206" s="92">
        <v>1.0</v>
      </c>
      <c r="F206" s="94">
        <f t="array" ref="F206">INDEX(FECHAS,MATCH(INDEX(NLAB,MATCH($F$216,FECHAS,0))-14,NLAB,0))</f>
        <v>46455</v>
      </c>
      <c r="G206" s="94">
        <f t="array" ref="G206">IF(E206=0,F206,INDEX(FECHAS,MATCH(INDEX(NLAB,MATCH(F206,FECHAS,0))+E206-1,NLAB,0)))</f>
        <v>46455</v>
      </c>
      <c r="H206" s="22" t="s">
        <v>603</v>
      </c>
      <c r="I206" s="11" t="s">
        <v>449</v>
      </c>
      <c r="J206" s="91" t="str">
        <f>IF(K206&gt;=1,"Completado",IF(G206&lt;FECHA_ESTADO,"Atrasado",IF(K206&gt;0,"En progreso","No iniciado")))</f>
        <v>No iniciado</v>
      </c>
      <c r="K206" s="95">
        <v>0.0</v>
      </c>
      <c r="L206" s="91">
        <f t="array" ref="L206">INDEX(NLAB,MATCH($F$216,FECHAS,0))-1-INDEX(NLAB,MATCH(G206,FECHAS,0))</f>
        <v>13</v>
      </c>
      <c r="M206" s="91">
        <v>13.0</v>
      </c>
      <c r="N206" s="91" t="str">
        <f t="shared" si="74"/>
        <v>No</v>
      </c>
      <c r="AO206" s="41"/>
    </row>
    <row r="207" ht="27.0" customHeight="1" outlineLevel="3">
      <c r="A207" s="91" t="s">
        <v>188</v>
      </c>
      <c r="B207" s="91" t="s">
        <v>604</v>
      </c>
      <c r="C207" s="11"/>
      <c r="D207" s="11" t="s">
        <v>605</v>
      </c>
      <c r="E207" s="92">
        <v>2.0</v>
      </c>
      <c r="F207" s="94">
        <f t="array" ref="F207">INDEX(FECHAS,MATCH(INDEX(NLAB,MATCH($F$216,FECHAS,0))-8,NLAB,0))</f>
        <v>46462</v>
      </c>
      <c r="G207" s="94">
        <f t="array" ref="G207">IF(E207=0,F207,INDEX(FECHAS,MATCH(INDEX(NLAB,MATCH(F207,FECHAS,0))+E207-1,NLAB,0)))</f>
        <v>46463</v>
      </c>
      <c r="H207" s="22" t="s">
        <v>597</v>
      </c>
      <c r="I207" s="11" t="s">
        <v>449</v>
      </c>
      <c r="J207" s="91" t="str">
        <f>IF(K207&gt;=1,"Completado",IF(G207&lt;FECHA_ESTADO,"Atrasado",IF(K207&gt;0,"En progreso","No iniciado")))</f>
        <v>No iniciado</v>
      </c>
      <c r="K207" s="95">
        <v>0.0</v>
      </c>
      <c r="L207" s="91">
        <f t="array" ref="L207">INDEX(NLAB,MATCH($F$216,FECHAS,0))-1-INDEX(NLAB,MATCH(G207,FECHAS,0))</f>
        <v>6</v>
      </c>
      <c r="M207" s="91">
        <v>6.0</v>
      </c>
      <c r="N207" s="91" t="str">
        <f t="shared" si="74"/>
        <v>No</v>
      </c>
      <c r="AP207" s="41"/>
    </row>
    <row r="208" ht="15.75" customHeight="1" outlineLevel="2">
      <c r="A208" s="116" t="s">
        <v>188</v>
      </c>
      <c r="B208" s="116" t="s">
        <v>606</v>
      </c>
      <c r="C208" s="117" t="s">
        <v>607</v>
      </c>
      <c r="D208" s="117"/>
      <c r="E208" s="116">
        <f t="array" ref="E208">INDEX(NLAB,MATCH(G208,FECHAS,0))-INDEX(NLAB,MATCH(F208,FECHAS,0))+1</f>
        <v>61</v>
      </c>
      <c r="F208" s="118">
        <f>MIN(F209:F212)</f>
        <v>46398</v>
      </c>
      <c r="G208" s="118">
        <f>MAX(G209:G212)</f>
        <v>46468</v>
      </c>
      <c r="H208" s="119"/>
      <c r="I208" s="117"/>
      <c r="J208" s="116" t="str">
        <f>IF(K208&gt;=1,"Completado",IF(AND(G208&lt;FECHA_ESTADO,K208&lt;1),"Atrasado",IF(K208&gt;0,"En progreso","No iniciado")))</f>
        <v>No iniciado</v>
      </c>
      <c r="K208" s="120">
        <f>IFERROR(SUMPRODUCT(--(C209:C212=""),E209:E212,K209:K212)/SUMPRODUCT(--(C209:C212=""),E209:E212),0)</f>
        <v>0</v>
      </c>
      <c r="L208" s="116"/>
      <c r="M208" s="116"/>
      <c r="N208" s="116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</row>
    <row r="209" ht="15.75" customHeight="1" outlineLevel="3">
      <c r="A209" s="91" t="s">
        <v>188</v>
      </c>
      <c r="B209" s="91" t="s">
        <v>608</v>
      </c>
      <c r="C209" s="11"/>
      <c r="D209" s="11" t="s">
        <v>609</v>
      </c>
      <c r="E209" s="92">
        <v>6.0</v>
      </c>
      <c r="F209" s="94">
        <f t="array" ref="F209">INDEX(FECHAS,MATCH(INDEX(NLAB,MATCH($G$205,FECHAS,0))+1,NLAB,0))</f>
        <v>46398</v>
      </c>
      <c r="G209" s="94">
        <f t="array" ref="G209">IF(E209=0,F209,INDEX(FECHAS,MATCH(INDEX(NLAB,MATCH(F209,FECHAS,0))+E209-1,NLAB,0)))</f>
        <v>46403</v>
      </c>
      <c r="H209" s="22" t="s">
        <v>599</v>
      </c>
      <c r="I209" s="11" t="s">
        <v>610</v>
      </c>
      <c r="J209" s="91" t="str">
        <f>IF(K209&gt;=1,"Completado",IF(G209&lt;FECHA_ESTADO,"Atrasado",IF(K209&gt;0,"En progreso","No iniciado")))</f>
        <v>No iniciado</v>
      </c>
      <c r="K209" s="95">
        <v>0.0</v>
      </c>
      <c r="L209" s="91">
        <f t="array" ref="L209">INDEX(NLAB,MATCH($F$210,FECHAS,0))-1-INDEX(NLAB,MATCH(G209,FECHAS,0))</f>
        <v>0</v>
      </c>
      <c r="M209" s="91">
        <v>15.0</v>
      </c>
      <c r="N209" s="91" t="str">
        <f t="shared" ref="N209:N212" si="75">IF(M209&lt;=0,"Sí","No")</f>
        <v>No</v>
      </c>
      <c r="AG209" s="41"/>
    </row>
    <row r="210" outlineLevel="3">
      <c r="A210" s="91" t="s">
        <v>188</v>
      </c>
      <c r="B210" s="91" t="s">
        <v>611</v>
      </c>
      <c r="C210" s="11"/>
      <c r="D210" s="11" t="s">
        <v>612</v>
      </c>
      <c r="E210" s="92">
        <v>2.0</v>
      </c>
      <c r="F210" s="94">
        <f t="array" ref="F210">INDEX(FECHAS,MATCH(INDEX(NLAB,MATCH($G$209,FECHAS,0))+1,NLAB,0))</f>
        <v>46405</v>
      </c>
      <c r="G210" s="94">
        <f t="array" ref="G210">IF(E210=0,F210,INDEX(FECHAS,MATCH(INDEX(NLAB,MATCH(F210,FECHAS,0))+E210-1,NLAB,0)))</f>
        <v>46406</v>
      </c>
      <c r="H210" s="22" t="s">
        <v>608</v>
      </c>
      <c r="I210" s="11" t="s">
        <v>346</v>
      </c>
      <c r="J210" s="91" t="str">
        <f>IF(K210&gt;=1,"Completado",IF(G210&lt;FECHA_ESTADO,"Atrasado",IF(K210&gt;0,"En progreso","No iniciado")))</f>
        <v>No iniciado</v>
      </c>
      <c r="K210" s="95">
        <v>0.0</v>
      </c>
      <c r="L210" s="91">
        <f t="array" ref="L210">MIN(INDEX(NLAB,MATCH($F$211,FECHAS,0))-1,INDEX(NLAB,MATCH(DATE(2027,2,5),FECHAS,0)))-INDEX(NLAB,MATCH(G210,FECHAS,0))</f>
        <v>15</v>
      </c>
      <c r="M210" s="91">
        <v>15.0</v>
      </c>
      <c r="N210" s="91" t="str">
        <f t="shared" si="75"/>
        <v>No</v>
      </c>
      <c r="AH210" s="41"/>
    </row>
    <row r="211" ht="15.75" customHeight="1" outlineLevel="3">
      <c r="A211" s="91" t="s">
        <v>188</v>
      </c>
      <c r="B211" s="91" t="s">
        <v>613</v>
      </c>
      <c r="C211" s="11"/>
      <c r="D211" s="11" t="s">
        <v>614</v>
      </c>
      <c r="E211" s="92">
        <v>1.0</v>
      </c>
      <c r="F211" s="121">
        <v>46450.0</v>
      </c>
      <c r="G211" s="94">
        <f t="array" ref="G211">IF(E211=0,F211,INDEX(FECHAS,MATCH(INDEX(NLAB,MATCH(F211,FECHAS,0))+E211-1,NLAB,0)))</f>
        <v>46450</v>
      </c>
      <c r="H211" s="22" t="s">
        <v>615</v>
      </c>
      <c r="I211" s="11" t="s">
        <v>312</v>
      </c>
      <c r="J211" s="91" t="str">
        <f>IF(K211&gt;=1,"Completado",IF(G211&lt;FECHA_ESTADO,"Atrasado",IF(K211&gt;0,"En progreso","No iniciado")))</f>
        <v>No iniciado</v>
      </c>
      <c r="K211" s="95">
        <v>0.0</v>
      </c>
      <c r="L211" s="91">
        <f t="array" ref="L211">INDEX(NLAB,MATCH($F$212,FECHAS,0))-1-INDEX(NLAB,MATCH(G211,FECHAS,0))</f>
        <v>14</v>
      </c>
      <c r="M211" s="91">
        <v>16.0</v>
      </c>
      <c r="N211" s="91" t="str">
        <f t="shared" si="75"/>
        <v>No</v>
      </c>
      <c r="AN211" s="41"/>
    </row>
    <row r="212" ht="27.0" customHeight="1" outlineLevel="3">
      <c r="A212" s="91" t="s">
        <v>188</v>
      </c>
      <c r="B212" s="91" t="s">
        <v>616</v>
      </c>
      <c r="C212" s="11"/>
      <c r="D212" s="11" t="s">
        <v>617</v>
      </c>
      <c r="E212" s="92">
        <v>1.0</v>
      </c>
      <c r="F212" s="94">
        <f t="array" ref="F212">INDEX(FECHAS,MATCH(INDEX(NLAB,MATCH($F$216,FECHAS,0))-3,NLAB,0))</f>
        <v>46468</v>
      </c>
      <c r="G212" s="94">
        <f t="array" ref="G212">IF(E212=0,F212,INDEX(FECHAS,MATCH(INDEX(NLAB,MATCH(F212,FECHAS,0))+E212-1,NLAB,0)))</f>
        <v>46468</v>
      </c>
      <c r="H212" s="22" t="s">
        <v>613</v>
      </c>
      <c r="I212" s="11" t="s">
        <v>449</v>
      </c>
      <c r="J212" s="91" t="str">
        <f>IF(K212&gt;=1,"Completado",IF(G212&lt;FECHA_ESTADO,"Atrasado",IF(K212&gt;0,"En progreso","No iniciado")))</f>
        <v>No iniciado</v>
      </c>
      <c r="K212" s="95">
        <v>0.0</v>
      </c>
      <c r="L212" s="91">
        <f t="array" ref="L212">INDEX(NLAB,MATCH($F$216,FECHAS,0))-1-INDEX(NLAB,MATCH(G212,FECHAS,0))</f>
        <v>2</v>
      </c>
      <c r="M212" s="91">
        <v>2.0</v>
      </c>
      <c r="N212" s="91" t="str">
        <f t="shared" si="75"/>
        <v>No</v>
      </c>
      <c r="AQ212" s="41"/>
    </row>
    <row r="213" ht="15.75" customHeight="1" outlineLevel="2">
      <c r="A213" s="116" t="s">
        <v>188</v>
      </c>
      <c r="B213" s="116" t="s">
        <v>618</v>
      </c>
      <c r="C213" s="117" t="s">
        <v>462</v>
      </c>
      <c r="D213" s="117"/>
      <c r="E213" s="116">
        <f t="array" ref="E213">INDEX(NLAB,MATCH(G213,FECHAS,0))-INDEX(NLAB,MATCH(F213,FECHAS,0))+1</f>
        <v>1</v>
      </c>
      <c r="F213" s="118">
        <f>MIN(F214)</f>
        <v>46473</v>
      </c>
      <c r="G213" s="118">
        <f>MAX(G214)</f>
        <v>46473</v>
      </c>
      <c r="H213" s="119"/>
      <c r="I213" s="117"/>
      <c r="J213" s="116" t="str">
        <f>IF(K213&gt;=1,"Completado",IF(AND(G213&lt;FECHA_ESTADO,K213&lt;1),"Atrasado",IF(K213&gt;0,"En progreso","No iniciado")))</f>
        <v>No iniciado</v>
      </c>
      <c r="K213" s="120">
        <f>IFERROR(SUMPRODUCT(--(C214=""),E214,K214)/SUMPRODUCT(--(C214=""),E214),0)</f>
        <v>0</v>
      </c>
      <c r="L213" s="116"/>
      <c r="M213" s="116"/>
      <c r="N213" s="116"/>
      <c r="AQ213" s="41"/>
    </row>
    <row r="214" ht="15.75" customHeight="1" outlineLevel="3">
      <c r="A214" s="91" t="s">
        <v>188</v>
      </c>
      <c r="B214" s="91" t="s">
        <v>619</v>
      </c>
      <c r="C214" s="11"/>
      <c r="D214" s="11" t="s">
        <v>620</v>
      </c>
      <c r="E214" s="92">
        <v>1.0</v>
      </c>
      <c r="F214" s="93">
        <v>46473.0</v>
      </c>
      <c r="G214" s="94">
        <f t="array" ref="G214">IF(E214=0,F214,INDEX(FECHAS,MATCH(INDEX(NLAB,MATCH(F214,FECHAS,0))+E214-1,NLAB,0)))</f>
        <v>46473</v>
      </c>
      <c r="H214" s="22" t="s">
        <v>391</v>
      </c>
      <c r="I214" s="11" t="s">
        <v>449</v>
      </c>
      <c r="J214" s="91" t="str">
        <f>IF(K214&gt;=1,"Completado",IF(G214&lt;FECHA_ESTADO,"Atrasado",IF(K214&gt;0,"En progreso","No iniciado")))</f>
        <v>No iniciado</v>
      </c>
      <c r="K214" s="95">
        <v>0.0</v>
      </c>
      <c r="L214" s="91">
        <f t="array" ref="L214">INDEX(NLAB,MATCH(FIN_PROY,FECHAS,0))-INDEX(NLAB,MATCH(G214,FECHAS,0))</f>
        <v>118</v>
      </c>
      <c r="M214" s="91">
        <v>0.0</v>
      </c>
      <c r="N214" s="91" t="str">
        <f>IF(M214&lt;=0,"Sí","No")</f>
        <v>Sí</v>
      </c>
      <c r="AQ214" s="41"/>
    </row>
    <row r="215" ht="15.75" customHeight="1" outlineLevel="2">
      <c r="A215" s="116" t="s">
        <v>188</v>
      </c>
      <c r="B215" s="116" t="s">
        <v>621</v>
      </c>
      <c r="C215" s="117" t="s">
        <v>475</v>
      </c>
      <c r="D215" s="117"/>
      <c r="E215" s="116">
        <f t="array" ref="E215">INDEX(NLAB,MATCH(G215,FECHAS,0))-INDEX(NLAB,MATCH(F215,FECHAS,0))+1</f>
        <v>3</v>
      </c>
      <c r="F215" s="118">
        <f>MIN(F216:F217)</f>
        <v>46473</v>
      </c>
      <c r="G215" s="118">
        <f>MAX(G216:G217)</f>
        <v>46476</v>
      </c>
      <c r="H215" s="119"/>
      <c r="I215" s="117"/>
      <c r="J215" s="116" t="str">
        <f>IF(K215&gt;=1,"Completado",IF(AND(G215&lt;FECHA_ESTADO,K215&lt;1),"Atrasado",IF(K215&gt;0,"En progreso","No iniciado")))</f>
        <v>No iniciado</v>
      </c>
      <c r="K215" s="120">
        <f>IFERROR(SUMPRODUCT(--(C216:C217=""),E216:E217,K216:K217)/SUMPRODUCT(--(C216:C217=""),E216:E217),0)</f>
        <v>0</v>
      </c>
      <c r="L215" s="116"/>
      <c r="M215" s="116"/>
      <c r="N215" s="116"/>
      <c r="AQ215" s="41"/>
      <c r="AR215" s="41"/>
    </row>
    <row r="216" ht="15.75" customHeight="1" outlineLevel="3">
      <c r="A216" s="91" t="s">
        <v>188</v>
      </c>
      <c r="B216" s="91" t="s">
        <v>196</v>
      </c>
      <c r="C216" s="11"/>
      <c r="D216" s="11" t="s">
        <v>622</v>
      </c>
      <c r="E216" s="92">
        <v>1.0</v>
      </c>
      <c r="F216" s="93">
        <v>46473.0</v>
      </c>
      <c r="G216" s="94">
        <f t="array" ref="G216">IF(E216=0,F216,INDEX(FECHAS,MATCH(INDEX(NLAB,MATCH(F216,FECHAS,0))+E216-1,NLAB,0)))</f>
        <v>46473</v>
      </c>
      <c r="H216" s="22" t="s">
        <v>623</v>
      </c>
      <c r="I216" s="11" t="s">
        <v>624</v>
      </c>
      <c r="J216" s="91" t="str">
        <f>IF(K216&gt;=1,"Completado",IF(G216&lt;FECHA_ESTADO,"Atrasado",IF(K216&gt;0,"En progreso","No iniciado")))</f>
        <v>No iniciado</v>
      </c>
      <c r="K216" s="95">
        <v>0.0</v>
      </c>
      <c r="L216" s="91">
        <f t="array" ref="L216">MIN(INDEX(NLAB,MATCH($F$99,FECHAS,0))-1,INDEX(NLAB,MATCH($F$131,FECHAS,0))-1,INDEX(NLAB,MATCH($F$133,FECHAS,0))-1,INDEX(NLAB,MATCH($F$217,FECHAS,0))-1,INDEX(NLAB,MATCH($F$219,FECHAS,0))-1,INDEX(NLAB,MATCH($F$221,FECHAS,0))-1,INDEX(NLAB,MATCH(DATE(2027,3,27),FECHAS,0)))-INDEX(NLAB,MATCH(G216,FECHAS,0))</f>
        <v>0</v>
      </c>
      <c r="M216" s="91">
        <v>0.0</v>
      </c>
      <c r="N216" s="91" t="str">
        <f t="shared" ref="N216:N217" si="76">IF(M216&lt;=0,"Sí","No")</f>
        <v>Sí</v>
      </c>
      <c r="AQ216" s="41"/>
    </row>
    <row r="217" ht="15.75" customHeight="1" outlineLevel="3">
      <c r="A217" s="91" t="s">
        <v>188</v>
      </c>
      <c r="B217" s="91" t="s">
        <v>625</v>
      </c>
      <c r="C217" s="11"/>
      <c r="D217" s="11" t="s">
        <v>626</v>
      </c>
      <c r="E217" s="92">
        <v>2.0</v>
      </c>
      <c r="F217" s="94">
        <f t="array" ref="F217">INDEX(FECHAS,MATCH(INDEX(NLAB,MATCH($G$216,FECHAS,0))+1,NLAB,0))</f>
        <v>46475</v>
      </c>
      <c r="G217" s="94">
        <f t="array" ref="G217">IF(E217=0,F217,INDEX(FECHAS,MATCH(INDEX(NLAB,MATCH(F217,FECHAS,0))+E217-1,NLAB,0)))</f>
        <v>46476</v>
      </c>
      <c r="H217" s="22" t="s">
        <v>196</v>
      </c>
      <c r="I217" s="11" t="s">
        <v>494</v>
      </c>
      <c r="J217" s="91" t="str">
        <f>IF(K217&gt;=1,"Completado",IF(G217&lt;FECHA_ESTADO,"Atrasado",IF(K217&gt;0,"En progreso","No iniciado")))</f>
        <v>No iniciado</v>
      </c>
      <c r="K217" s="95">
        <v>0.0</v>
      </c>
      <c r="L217" s="91">
        <f t="array" ref="L217">INDEX(NLAB,MATCH($F$325,FECHAS,0))-1-INDEX(NLAB,MATCH(G217,FECHAS,0))</f>
        <v>0</v>
      </c>
      <c r="M217" s="91">
        <v>1.0</v>
      </c>
      <c r="N217" s="91" t="str">
        <f t="shared" si="76"/>
        <v>No</v>
      </c>
      <c r="AR217" s="41"/>
    </row>
    <row r="218" ht="15.75" customHeight="1" outlineLevel="2">
      <c r="A218" s="116" t="s">
        <v>188</v>
      </c>
      <c r="B218" s="116" t="s">
        <v>627</v>
      </c>
      <c r="C218" s="117" t="s">
        <v>628</v>
      </c>
      <c r="D218" s="117"/>
      <c r="E218" s="116">
        <f t="array" ref="E218">INDEX(NLAB,MATCH(G218,FECHAS,0))-INDEX(NLAB,MATCH(F218,FECHAS,0))+1</f>
        <v>2</v>
      </c>
      <c r="F218" s="118">
        <f>MIN(F219)</f>
        <v>46475</v>
      </c>
      <c r="G218" s="118">
        <f>MAX(G219)</f>
        <v>46476</v>
      </c>
      <c r="H218" s="119"/>
      <c r="I218" s="117"/>
      <c r="J218" s="116" t="str">
        <f>IF(K218&gt;=1,"Completado",IF(AND(G218&lt;FECHA_ESTADO,K218&lt;1),"Atrasado",IF(K218&gt;0,"En progreso","No iniciado")))</f>
        <v>No iniciado</v>
      </c>
      <c r="K218" s="120">
        <f>IFERROR(SUMPRODUCT(--(C219=""),E219,K219)/SUMPRODUCT(--(C219=""),E219),0)</f>
        <v>0</v>
      </c>
      <c r="L218" s="116"/>
      <c r="M218" s="116"/>
      <c r="N218" s="116"/>
      <c r="AR218" s="41"/>
    </row>
    <row r="219" ht="15.75" customHeight="1" outlineLevel="3">
      <c r="A219" s="91" t="s">
        <v>188</v>
      </c>
      <c r="B219" s="91" t="s">
        <v>629</v>
      </c>
      <c r="C219" s="11"/>
      <c r="D219" s="11" t="s">
        <v>630</v>
      </c>
      <c r="E219" s="92">
        <v>2.0</v>
      </c>
      <c r="F219" s="94">
        <f t="array" ref="F219">INDEX(FECHAS,MATCH(INDEX(NLAB,MATCH($G$216,FECHAS,0))+1,NLAB,0))</f>
        <v>46475</v>
      </c>
      <c r="G219" s="94">
        <f t="array" ref="G219">IF(E219=0,F219,INDEX(FECHAS,MATCH(INDEX(NLAB,MATCH(F219,FECHAS,0))+E219-1,NLAB,0)))</f>
        <v>46476</v>
      </c>
      <c r="H219" s="22" t="s">
        <v>196</v>
      </c>
      <c r="I219" s="11" t="s">
        <v>631</v>
      </c>
      <c r="J219" s="91" t="str">
        <f>IF(K219&gt;=1,"Completado",IF(G219&lt;FECHA_ESTADO,"Atrasado",IF(K219&gt;0,"En progreso","No iniciado")))</f>
        <v>No iniciado</v>
      </c>
      <c r="K219" s="95">
        <v>0.0</v>
      </c>
      <c r="L219" s="91">
        <f t="array" ref="L219">INDEX(NLAB,MATCH($F$325,FECHAS,0))-1-INDEX(NLAB,MATCH(G219,FECHAS,0))</f>
        <v>0</v>
      </c>
      <c r="M219" s="91">
        <v>1.0</v>
      </c>
      <c r="N219" s="91" t="str">
        <f>IF(M219&lt;=0,"Sí","No")</f>
        <v>No</v>
      </c>
      <c r="AR219" s="41"/>
    </row>
    <row r="220" ht="15.75" customHeight="1" outlineLevel="2">
      <c r="A220" s="116" t="s">
        <v>188</v>
      </c>
      <c r="B220" s="116" t="s">
        <v>632</v>
      </c>
      <c r="C220" s="117" t="s">
        <v>496</v>
      </c>
      <c r="D220" s="117"/>
      <c r="E220" s="116">
        <f t="array" ref="E220">INDEX(NLAB,MATCH(G220,FECHAS,0))-INDEX(NLAB,MATCH(F220,FECHAS,0))+1</f>
        <v>1</v>
      </c>
      <c r="F220" s="118">
        <f>MIN(F221)</f>
        <v>46475</v>
      </c>
      <c r="G220" s="118">
        <f>MAX(G221)</f>
        <v>46475</v>
      </c>
      <c r="H220" s="119"/>
      <c r="I220" s="117"/>
      <c r="J220" s="116" t="str">
        <f>IF(K220&gt;=1,"Completado",IF(AND(G220&lt;FECHA_ESTADO,K220&lt;1),"Atrasado",IF(K220&gt;0,"En progreso","No iniciado")))</f>
        <v>No iniciado</v>
      </c>
      <c r="K220" s="120">
        <f>IFERROR(SUMPRODUCT(--(C221=""),E221,K221)/SUMPRODUCT(--(C221=""),E221),0)</f>
        <v>0</v>
      </c>
      <c r="L220" s="116"/>
      <c r="M220" s="116"/>
      <c r="N220" s="116"/>
      <c r="AR220" s="41"/>
    </row>
    <row r="221" ht="15.75" customHeight="1" outlineLevel="3">
      <c r="A221" s="91" t="s">
        <v>188</v>
      </c>
      <c r="B221" s="91" t="s">
        <v>633</v>
      </c>
      <c r="C221" s="11"/>
      <c r="D221" s="11" t="s">
        <v>634</v>
      </c>
      <c r="E221" s="92">
        <v>1.0</v>
      </c>
      <c r="F221" s="94">
        <f t="array" ref="F221">INDEX(FECHAS,MATCH(INDEX(NLAB,MATCH($G$216,FECHAS,0))+1,NLAB,0))</f>
        <v>46475</v>
      </c>
      <c r="G221" s="94">
        <f t="array" ref="G221">IF(E221=0,F221,INDEX(FECHAS,MATCH(INDEX(NLAB,MATCH(F221,FECHAS,0))+E221-1,NLAB,0)))</f>
        <v>46475</v>
      </c>
      <c r="H221" s="22" t="s">
        <v>196</v>
      </c>
      <c r="I221" s="11" t="s">
        <v>335</v>
      </c>
      <c r="J221" s="91" t="str">
        <f>IF(K221&gt;=1,"Completado",IF(G221&lt;FECHA_ESTADO,"Atrasado",IF(K221&gt;0,"En progreso","No iniciado")))</f>
        <v>No iniciado</v>
      </c>
      <c r="K221" s="95">
        <v>0.0</v>
      </c>
      <c r="L221" s="91">
        <f t="array" ref="L221">INDEX(NLAB,MATCH($F$325,FECHAS,0))-1-INDEX(NLAB,MATCH(G221,FECHAS,0))</f>
        <v>1</v>
      </c>
      <c r="M221" s="91">
        <v>2.0</v>
      </c>
      <c r="N221" s="91" t="str">
        <f>IF(M221&lt;=0,"Sí","No")</f>
        <v>No</v>
      </c>
      <c r="AR221" s="41"/>
    </row>
    <row r="222" ht="15.75" customHeight="1" outlineLevel="1">
      <c r="A222" s="111" t="s">
        <v>188</v>
      </c>
      <c r="B222" s="111" t="s">
        <v>635</v>
      </c>
      <c r="C222" s="112" t="s">
        <v>636</v>
      </c>
      <c r="D222" s="112"/>
      <c r="E222" s="111">
        <f t="array" ref="E222">INDEX(NLAB,MATCH(G222,FECHAS,0))-INDEX(NLAB,MATCH(F222,FECHAS,0))+1</f>
        <v>96</v>
      </c>
      <c r="F222" s="113">
        <f>MIN(F223:F249)</f>
        <v>46391</v>
      </c>
      <c r="G222" s="113">
        <f>MAX(G223:G249)</f>
        <v>46504</v>
      </c>
      <c r="H222" s="114"/>
      <c r="I222" s="112"/>
      <c r="J222" s="111" t="str">
        <f>IF(K222&gt;=1,"Completado",IF(AND(G222&lt;FECHA_ESTADO,K222&lt;1),"Atrasado",IF(K222&gt;0,"En progreso","No iniciado")))</f>
        <v>No iniciado</v>
      </c>
      <c r="K222" s="115">
        <f>IFERROR(SUMPRODUCT(--(C223:C249=""),E223:E249,K223:K249)/SUMPRODUCT(--(C223:C249=""),E223:E249),0)</f>
        <v>0</v>
      </c>
      <c r="L222" s="111"/>
      <c r="M222" s="111"/>
      <c r="N222" s="11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</row>
    <row r="223" ht="15.75" customHeight="1" outlineLevel="2">
      <c r="A223" s="116" t="s">
        <v>188</v>
      </c>
      <c r="B223" s="116" t="s">
        <v>637</v>
      </c>
      <c r="C223" s="117" t="s">
        <v>428</v>
      </c>
      <c r="D223" s="117"/>
      <c r="E223" s="116">
        <f t="array" ref="E223">INDEX(NLAB,MATCH(G223,FECHAS,0))-INDEX(NLAB,MATCH(F223,FECHAS,0))+1</f>
        <v>17</v>
      </c>
      <c r="F223" s="118">
        <f>MIN(F224:F229)</f>
        <v>46478</v>
      </c>
      <c r="G223" s="118">
        <f>MAX(G224:G229)</f>
        <v>46497</v>
      </c>
      <c r="H223" s="119"/>
      <c r="I223" s="117"/>
      <c r="J223" s="116" t="str">
        <f>IF(K223&gt;=1,"Completado",IF(AND(G223&lt;FECHA_ESTADO,K223&lt;1),"Atrasado",IF(K223&gt;0,"En progreso","No iniciado")))</f>
        <v>No iniciado</v>
      </c>
      <c r="K223" s="120">
        <f>IFERROR(SUMPRODUCT(--(C224:C229=""),E224:E229,K224:K229)/SUMPRODUCT(--(C224:C229=""),E224:E229),0)</f>
        <v>0</v>
      </c>
      <c r="L223" s="116"/>
      <c r="M223" s="116"/>
      <c r="N223" s="116"/>
      <c r="AR223" s="41"/>
      <c r="AS223" s="41"/>
      <c r="AT223" s="41"/>
      <c r="AU223" s="41"/>
    </row>
    <row r="224" ht="15.75" customHeight="1" outlineLevel="3">
      <c r="A224" s="116" t="s">
        <v>188</v>
      </c>
      <c r="B224" s="116" t="s">
        <v>638</v>
      </c>
      <c r="C224" s="117" t="s">
        <v>430</v>
      </c>
      <c r="D224" s="117"/>
      <c r="E224" s="116">
        <f t="array" ref="E224">INDEX(NLAB,MATCH(G224,FECHAS,0))-INDEX(NLAB,MATCH(F224,FECHAS,0))+1</f>
        <v>6</v>
      </c>
      <c r="F224" s="118">
        <f>MIN(F225)</f>
        <v>46478</v>
      </c>
      <c r="G224" s="118">
        <f>MAX(G225)</f>
        <v>46484</v>
      </c>
      <c r="H224" s="119"/>
      <c r="I224" s="117"/>
      <c r="J224" s="116" t="str">
        <f>IF(K224&gt;=1,"Completado",IF(AND(G224&lt;FECHA_ESTADO,K224&lt;1),"Atrasado",IF(K224&gt;0,"En progreso","No iniciado")))</f>
        <v>No iniciado</v>
      </c>
      <c r="K224" s="120">
        <f>IFERROR(SUMPRODUCT(--(C225=""),E225,K225)/SUMPRODUCT(--(C225=""),E225),0)</f>
        <v>0</v>
      </c>
      <c r="L224" s="116"/>
      <c r="M224" s="116"/>
      <c r="N224" s="116"/>
      <c r="AR224" s="41"/>
      <c r="AS224" s="41"/>
    </row>
    <row r="225" ht="15.75" customHeight="1" outlineLevel="4">
      <c r="A225" s="91" t="s">
        <v>188</v>
      </c>
      <c r="B225" s="91" t="s">
        <v>639</v>
      </c>
      <c r="C225" s="11"/>
      <c r="D225" s="11" t="s">
        <v>432</v>
      </c>
      <c r="E225" s="92">
        <v>6.0</v>
      </c>
      <c r="F225" s="94">
        <f t="array" ref="F225">INDEX(FECHAS,MATCH(INDEX(NLAB,MATCH($F$244,FECHAS,0))-20,NLAB,0))</f>
        <v>46478</v>
      </c>
      <c r="G225" s="94">
        <f t="array" ref="G225">IF(E225=0,F225,INDEX(FECHAS,MATCH(INDEX(NLAB,MATCH(F225,FECHAS,0))+E225-1,NLAB,0)))</f>
        <v>46484</v>
      </c>
      <c r="H225" s="22" t="s">
        <v>336</v>
      </c>
      <c r="I225" s="11" t="s">
        <v>433</v>
      </c>
      <c r="J225" s="91" t="str">
        <f>IF(K225&gt;=1,"Completado",IF(G225&lt;FECHA_ESTADO,"Atrasado",IF(K225&gt;0,"En progreso","No iniciado")))</f>
        <v>No iniciado</v>
      </c>
      <c r="K225" s="95">
        <v>0.0</v>
      </c>
      <c r="L225" s="91">
        <f t="array" ref="L225">INDEX(NLAB,MATCH($F$227,FECHAS,0))-1-INDEX(NLAB,MATCH(G225,FECHAS,0))</f>
        <v>0</v>
      </c>
      <c r="M225" s="91">
        <v>11.0</v>
      </c>
      <c r="N225" s="91" t="str">
        <f>IF(M225&lt;=0,"Sí","No")</f>
        <v>No</v>
      </c>
      <c r="AR225" s="41"/>
      <c r="AS225" s="41"/>
    </row>
    <row r="226" ht="15.75" customHeight="1" outlineLevel="3">
      <c r="A226" s="116" t="s">
        <v>188</v>
      </c>
      <c r="B226" s="116" t="s">
        <v>640</v>
      </c>
      <c r="C226" s="117" t="s">
        <v>435</v>
      </c>
      <c r="D226" s="117"/>
      <c r="E226" s="116">
        <f t="array" ref="E226">INDEX(NLAB,MATCH(G226,FECHAS,0))-INDEX(NLAB,MATCH(F226,FECHAS,0))+1</f>
        <v>2</v>
      </c>
      <c r="F226" s="118">
        <f>MIN(F227)</f>
        <v>46485</v>
      </c>
      <c r="G226" s="118">
        <f>MAX(G227)</f>
        <v>46486</v>
      </c>
      <c r="H226" s="119"/>
      <c r="I226" s="117"/>
      <c r="J226" s="116" t="str">
        <f>IF(K226&gt;=1,"Completado",IF(AND(G226&lt;FECHA_ESTADO,K226&lt;1),"Atrasado",IF(K226&gt;0,"En progreso","No iniciado")))</f>
        <v>No iniciado</v>
      </c>
      <c r="K226" s="120">
        <f>IFERROR(SUMPRODUCT(--(C227=""),E227,K227)/SUMPRODUCT(--(C227=""),E227),0)</f>
        <v>0</v>
      </c>
      <c r="L226" s="116"/>
      <c r="M226" s="116"/>
      <c r="N226" s="116"/>
      <c r="AS226" s="41"/>
    </row>
    <row r="227" ht="27.0" customHeight="1" outlineLevel="4">
      <c r="A227" s="91" t="s">
        <v>188</v>
      </c>
      <c r="B227" s="91" t="s">
        <v>641</v>
      </c>
      <c r="C227" s="11"/>
      <c r="D227" s="11" t="s">
        <v>437</v>
      </c>
      <c r="E227" s="92">
        <v>2.0</v>
      </c>
      <c r="F227" s="94">
        <f t="array" ref="F227">INDEX(FECHAS,MATCH(INDEX(NLAB,MATCH($G$225,FECHAS,0))+1,NLAB,0))</f>
        <v>46485</v>
      </c>
      <c r="G227" s="94">
        <f t="array" ref="G227">IF(E227=0,F227,INDEX(FECHAS,MATCH(INDEX(NLAB,MATCH(F227,FECHAS,0))+E227-1,NLAB,0)))</f>
        <v>46486</v>
      </c>
      <c r="H227" s="22" t="s">
        <v>639</v>
      </c>
      <c r="I227" s="11" t="s">
        <v>438</v>
      </c>
      <c r="J227" s="91" t="str">
        <f>IF(K227&gt;=1,"Completado",IF(G227&lt;FECHA_ESTADO,"Atrasado",IF(K227&gt;0,"En progreso","No iniciado")))</f>
        <v>No iniciado</v>
      </c>
      <c r="K227" s="95">
        <v>0.0</v>
      </c>
      <c r="L227" s="91">
        <f t="array" ref="L227">INDEX(NLAB,MATCH($F$229,FECHAS,0))-1-INDEX(NLAB,MATCH(G227,FECHAS,0))</f>
        <v>8</v>
      </c>
      <c r="M227" s="91">
        <v>11.0</v>
      </c>
      <c r="N227" s="91" t="str">
        <f>IF(M227&lt;=0,"Sí","No")</f>
        <v>No</v>
      </c>
      <c r="AS227" s="41"/>
    </row>
    <row r="228" ht="15.75" customHeight="1" outlineLevel="3">
      <c r="A228" s="116" t="s">
        <v>188</v>
      </c>
      <c r="B228" s="116" t="s">
        <v>642</v>
      </c>
      <c r="C228" s="117" t="s">
        <v>440</v>
      </c>
      <c r="D228" s="117"/>
      <c r="E228" s="116">
        <f t="array" ref="E228">INDEX(NLAB,MATCH(G228,FECHAS,0))-INDEX(NLAB,MATCH(F228,FECHAS,0))+1</f>
        <v>1</v>
      </c>
      <c r="F228" s="118">
        <f>MIN(F229)</f>
        <v>46497</v>
      </c>
      <c r="G228" s="118">
        <f>MAX(G229)</f>
        <v>46497</v>
      </c>
      <c r="H228" s="119"/>
      <c r="I228" s="117"/>
      <c r="J228" s="116" t="str">
        <f>IF(K228&gt;=1,"Completado",IF(AND(G228&lt;FECHA_ESTADO,K228&lt;1),"Atrasado",IF(K228&gt;0,"En progreso","No iniciado")))</f>
        <v>No iniciado</v>
      </c>
      <c r="K228" s="120">
        <f>IFERROR(SUMPRODUCT(--(C229=""),E229,K229)/SUMPRODUCT(--(C229=""),E229),0)</f>
        <v>0</v>
      </c>
      <c r="L228" s="116"/>
      <c r="M228" s="116"/>
      <c r="N228" s="116"/>
      <c r="AU228" s="41"/>
    </row>
    <row r="229" ht="15.75" customHeight="1" outlineLevel="4">
      <c r="A229" s="91" t="s">
        <v>188</v>
      </c>
      <c r="B229" s="91" t="s">
        <v>643</v>
      </c>
      <c r="C229" s="11"/>
      <c r="D229" s="11" t="s">
        <v>442</v>
      </c>
      <c r="E229" s="92">
        <v>1.0</v>
      </c>
      <c r="F229" s="94">
        <f t="array" ref="F229">INDEX(FECHAS,MATCH(INDEX(NLAB,MATCH($F$244,FECHAS,0))-4,NLAB,0))</f>
        <v>46497</v>
      </c>
      <c r="G229" s="94">
        <f t="array" ref="G229">IF(E229=0,F229,INDEX(FECHAS,MATCH(INDEX(NLAB,MATCH(F229,FECHAS,0))+E229-1,NLAB,0)))</f>
        <v>46497</v>
      </c>
      <c r="H229" s="22" t="s">
        <v>641</v>
      </c>
      <c r="I229" s="11" t="s">
        <v>443</v>
      </c>
      <c r="J229" s="91" t="str">
        <f>IF(K229&gt;=1,"Completado",IF(G229&lt;FECHA_ESTADO,"Atrasado",IF(K229&gt;0,"En progreso","No iniciado")))</f>
        <v>No iniciado</v>
      </c>
      <c r="K229" s="95">
        <v>0.0</v>
      </c>
      <c r="L229" s="91">
        <f t="array" ref="L229">INDEX(NLAB,MATCH($F$244,FECHAS,0))-1-INDEX(NLAB,MATCH(G229,FECHAS,0))</f>
        <v>3</v>
      </c>
      <c r="M229" s="91">
        <v>3.0</v>
      </c>
      <c r="N229" s="91" t="str">
        <f>IF(M229&lt;=0,"Sí","No")</f>
        <v>No</v>
      </c>
      <c r="AU229" s="41"/>
    </row>
    <row r="230" ht="15.75" customHeight="1" outlineLevel="2">
      <c r="A230" s="116" t="s">
        <v>188</v>
      </c>
      <c r="B230" s="116" t="s">
        <v>644</v>
      </c>
      <c r="C230" s="117" t="s">
        <v>445</v>
      </c>
      <c r="D230" s="117"/>
      <c r="E230" s="116">
        <f t="array" ref="E230">INDEX(NLAB,MATCH(G230,FECHAS,0))-INDEX(NLAB,MATCH(F230,FECHAS,0))+1</f>
        <v>12</v>
      </c>
      <c r="F230" s="118">
        <f>MIN(F231:F232)</f>
        <v>46391</v>
      </c>
      <c r="G230" s="118">
        <f>MAX(G231:G232)</f>
        <v>46403</v>
      </c>
      <c r="H230" s="119"/>
      <c r="I230" s="117"/>
      <c r="J230" s="116" t="str">
        <f>IF(K230&gt;=1,"Completado",IF(AND(G230&lt;FECHA_ESTADO,K230&lt;1),"Atrasado",IF(K230&gt;0,"En progreso","No iniciado")))</f>
        <v>No iniciado</v>
      </c>
      <c r="K230" s="120">
        <f>IFERROR(SUMPRODUCT(--(C231:C232=""),E231:E232,K231:K232)/SUMPRODUCT(--(C231:C232=""),E231:E232),0)</f>
        <v>0</v>
      </c>
      <c r="L230" s="116"/>
      <c r="M230" s="116"/>
      <c r="N230" s="116"/>
      <c r="AF230" s="41"/>
      <c r="AG230" s="41"/>
    </row>
    <row r="231" ht="27.0" customHeight="1" outlineLevel="3">
      <c r="A231" s="91" t="s">
        <v>188</v>
      </c>
      <c r="B231" s="91" t="s">
        <v>645</v>
      </c>
      <c r="C231" s="11"/>
      <c r="D231" s="11" t="s">
        <v>646</v>
      </c>
      <c r="E231" s="92">
        <v>6.0</v>
      </c>
      <c r="F231" s="121">
        <v>46391.0</v>
      </c>
      <c r="G231" s="94">
        <f t="array" ref="G231">IF(E231=0,F231,INDEX(FECHAS,MATCH(INDEX(NLAB,MATCH(F231,FECHAS,0))+E231-1,NLAB,0)))</f>
        <v>46396</v>
      </c>
      <c r="H231" s="22" t="s">
        <v>448</v>
      </c>
      <c r="I231" s="11" t="s">
        <v>449</v>
      </c>
      <c r="J231" s="91" t="str">
        <f>IF(K231&gt;=1,"Completado",IF(G231&lt;FECHA_ESTADO,"Atrasado",IF(K231&gt;0,"En progreso","No iniciado")))</f>
        <v>No iniciado</v>
      </c>
      <c r="K231" s="95">
        <v>0.0</v>
      </c>
      <c r="L231" s="91">
        <f t="array" ref="L231">MIN(INDEX(NLAB,MATCH($F$244,FECHAS,0))-1,INDEX(NLAB,MATCH(DATE(2027,1,15),FECHAS,0)))-INDEX(NLAB,MATCH(G231,FECHAS,0))</f>
        <v>5</v>
      </c>
      <c r="M231" s="91">
        <v>5.0</v>
      </c>
      <c r="N231" s="91" t="str">
        <f t="shared" ref="N231:N232" si="77">IF(M231&lt;=0,"Sí","No")</f>
        <v>No</v>
      </c>
      <c r="AF231" s="41"/>
    </row>
    <row r="232" ht="15.75" customHeight="1" outlineLevel="3">
      <c r="A232" s="91" t="s">
        <v>188</v>
      </c>
      <c r="B232" s="91" t="s">
        <v>647</v>
      </c>
      <c r="C232" s="11"/>
      <c r="D232" s="11" t="s">
        <v>648</v>
      </c>
      <c r="E232" s="92">
        <v>6.0</v>
      </c>
      <c r="F232" s="121">
        <v>46398.0</v>
      </c>
      <c r="G232" s="94">
        <f t="array" ref="G232">IF(E232=0,F232,INDEX(FECHAS,MATCH(INDEX(NLAB,MATCH(F232,FECHAS,0))+E232-1,NLAB,0)))</f>
        <v>46403</v>
      </c>
      <c r="H232" s="22" t="s">
        <v>305</v>
      </c>
      <c r="I232" s="11" t="s">
        <v>351</v>
      </c>
      <c r="J232" s="91" t="str">
        <f>IF(K232&gt;=1,"Completado",IF(G232&lt;FECHA_ESTADO,"Atrasado",IF(K232&gt;0,"En progreso","No iniciado")))</f>
        <v>No iniciado</v>
      </c>
      <c r="K232" s="95">
        <v>0.0</v>
      </c>
      <c r="L232" s="91">
        <f t="array" ref="L232">MIN(INDEX(NLAB,MATCH($F$244,FECHAS,0))-1,INDEX(NLAB,MATCH(DATE(2027,2,5),FECHAS,0)))-INDEX(NLAB,MATCH(G232,FECHAS,0))</f>
        <v>17</v>
      </c>
      <c r="M232" s="91">
        <v>17.0</v>
      </c>
      <c r="N232" s="91" t="str">
        <f t="shared" si="77"/>
        <v>No</v>
      </c>
      <c r="AG232" s="41"/>
    </row>
    <row r="233" outlineLevel="2">
      <c r="A233" s="116" t="s">
        <v>188</v>
      </c>
      <c r="B233" s="116" t="s">
        <v>649</v>
      </c>
      <c r="C233" s="117" t="s">
        <v>650</v>
      </c>
      <c r="D233" s="117"/>
      <c r="E233" s="116">
        <f t="array" ref="E233">INDEX(NLAB,MATCH(G233,FECHAS,0))-INDEX(NLAB,MATCH(F233,FECHAS,0))+1</f>
        <v>6</v>
      </c>
      <c r="F233" s="118">
        <f>MIN(F234:F235)</f>
        <v>46480</v>
      </c>
      <c r="G233" s="118">
        <f>MAX(G234:G235)</f>
        <v>46486</v>
      </c>
      <c r="H233" s="119"/>
      <c r="I233" s="117"/>
      <c r="J233" s="116" t="str">
        <f>IF(K233&gt;=1,"Completado",IF(AND(G233&lt;FECHA_ESTADO,K233&lt;1),"Atrasado",IF(K233&gt;0,"En progreso","No iniciado")))</f>
        <v>No iniciado</v>
      </c>
      <c r="K233" s="120">
        <f>IFERROR(SUMPRODUCT(--(C234:C235=""),E234:E235,K234:K235)/SUMPRODUCT(--(C234:C235=""),E234:E235),0)</f>
        <v>0</v>
      </c>
      <c r="L233" s="116"/>
      <c r="M233" s="116"/>
      <c r="N233" s="116"/>
      <c r="AR233" s="41"/>
      <c r="AS233" s="41"/>
    </row>
    <row r="234" ht="27.0" customHeight="1" outlineLevel="3">
      <c r="A234" s="91" t="s">
        <v>188</v>
      </c>
      <c r="B234" s="91" t="s">
        <v>651</v>
      </c>
      <c r="C234" s="11"/>
      <c r="D234" s="11" t="s">
        <v>652</v>
      </c>
      <c r="E234" s="92">
        <v>4.0</v>
      </c>
      <c r="F234" s="94">
        <f t="array" ref="F234">INDEX(FECHAS,MATCH(INDEX(NLAB,MATCH($F$243,FECHAS,0))-12,NLAB,0))</f>
        <v>46480</v>
      </c>
      <c r="G234" s="94">
        <f t="array" ref="G234">IF(E234=0,F234,INDEX(FECHAS,MATCH(INDEX(NLAB,MATCH(F234,FECHAS,0))+E234-1,NLAB,0)))</f>
        <v>46484</v>
      </c>
      <c r="H234" s="22" t="s">
        <v>653</v>
      </c>
      <c r="I234" s="11" t="s">
        <v>654</v>
      </c>
      <c r="J234" s="91" t="str">
        <f>IF(K234&gt;=1,"Completado",IF(G234&lt;FECHA_ESTADO,"Atrasado",IF(K234&gt;0,"En progreso","No iniciado")))</f>
        <v>No iniciado</v>
      </c>
      <c r="K234" s="95">
        <v>0.0</v>
      </c>
      <c r="L234" s="91">
        <f t="array" ref="L234">INDEX(NLAB,MATCH($F$235,FECHAS,0))-1-INDEX(NLAB,MATCH(G234,FECHAS,0))</f>
        <v>0</v>
      </c>
      <c r="M234" s="91">
        <v>6.0</v>
      </c>
      <c r="N234" s="91" t="str">
        <f t="shared" ref="N234:N235" si="78">IF(M234&lt;=0,"Sí","No")</f>
        <v>No</v>
      </c>
      <c r="AR234" s="41"/>
      <c r="AS234" s="41"/>
    </row>
    <row r="235" ht="27.0" customHeight="1" outlineLevel="3">
      <c r="A235" s="91" t="s">
        <v>188</v>
      </c>
      <c r="B235" s="91" t="s">
        <v>655</v>
      </c>
      <c r="C235" s="11"/>
      <c r="D235" s="11" t="s">
        <v>656</v>
      </c>
      <c r="E235" s="92">
        <v>2.0</v>
      </c>
      <c r="F235" s="94">
        <f t="array" ref="F235">INDEX(FECHAS,MATCH(INDEX(NLAB,MATCH($G$234,FECHAS,0))+1,NLAB,0))</f>
        <v>46485</v>
      </c>
      <c r="G235" s="94">
        <f t="array" ref="G235">IF(E235=0,F235,INDEX(FECHAS,MATCH(INDEX(NLAB,MATCH(F235,FECHAS,0))+E235-1,NLAB,0)))</f>
        <v>46486</v>
      </c>
      <c r="H235" s="22" t="s">
        <v>651</v>
      </c>
      <c r="I235" s="11" t="s">
        <v>401</v>
      </c>
      <c r="J235" s="91" t="str">
        <f>IF(K235&gt;=1,"Completado",IF(G235&lt;FECHA_ESTADO,"Atrasado",IF(K235&gt;0,"En progreso","No iniciado")))</f>
        <v>No iniciado</v>
      </c>
      <c r="K235" s="95">
        <v>0.0</v>
      </c>
      <c r="L235" s="91">
        <f t="array" ref="L235">INDEX(NLAB,MATCH($F$243,FECHAS,0))-1-INDEX(NLAB,MATCH(G235,FECHAS,0))</f>
        <v>6</v>
      </c>
      <c r="M235" s="91">
        <v>6.0</v>
      </c>
      <c r="N235" s="91" t="str">
        <f t="shared" si="78"/>
        <v>No</v>
      </c>
      <c r="AS235" s="41"/>
    </row>
    <row r="236" ht="15.75" customHeight="1" outlineLevel="2">
      <c r="A236" s="116" t="s">
        <v>188</v>
      </c>
      <c r="B236" s="116" t="s">
        <v>657</v>
      </c>
      <c r="C236" s="117" t="s">
        <v>658</v>
      </c>
      <c r="D236" s="117"/>
      <c r="E236" s="116">
        <f t="array" ref="E236">INDEX(NLAB,MATCH(G236,FECHAS,0))-INDEX(NLAB,MATCH(F236,FECHAS,0))+1</f>
        <v>13</v>
      </c>
      <c r="F236" s="118">
        <f>MIN(F237:F239)</f>
        <v>46405</v>
      </c>
      <c r="G236" s="118">
        <f>MAX(G237:G239)</f>
        <v>46419</v>
      </c>
      <c r="H236" s="119"/>
      <c r="I236" s="117"/>
      <c r="J236" s="116" t="str">
        <f>IF(K236&gt;=1,"Completado",IF(AND(G236&lt;FECHA_ESTADO,K236&lt;1),"Atrasado",IF(K236&gt;0,"En progreso","No iniciado")))</f>
        <v>No iniciado</v>
      </c>
      <c r="K236" s="120">
        <f>IFERROR(SUMPRODUCT(--(C237:C239=""),E237:E239,K237:K239)/SUMPRODUCT(--(C237:C239=""),E237:E239),0)</f>
        <v>0</v>
      </c>
      <c r="L236" s="116"/>
      <c r="M236" s="116"/>
      <c r="N236" s="116"/>
      <c r="AH236" s="41"/>
      <c r="AI236" s="41"/>
      <c r="AJ236" s="41"/>
    </row>
    <row r="237" ht="15.75" customHeight="1" outlineLevel="3">
      <c r="A237" s="91" t="s">
        <v>188</v>
      </c>
      <c r="B237" s="91" t="s">
        <v>659</v>
      </c>
      <c r="C237" s="11"/>
      <c r="D237" s="11" t="s">
        <v>660</v>
      </c>
      <c r="E237" s="92">
        <v>6.0</v>
      </c>
      <c r="F237" s="121">
        <v>46405.0</v>
      </c>
      <c r="G237" s="94">
        <f t="array" ref="G237">IF(E237=0,F237,INDEX(FECHAS,MATCH(INDEX(NLAB,MATCH(F237,FECHAS,0))+E237-1,NLAB,0)))</f>
        <v>46410</v>
      </c>
      <c r="H237" s="22" t="s">
        <v>305</v>
      </c>
      <c r="I237" s="11" t="s">
        <v>470</v>
      </c>
      <c r="J237" s="91" t="str">
        <f>IF(K237&gt;=1,"Completado",IF(G237&lt;FECHA_ESTADO,"Atrasado",IF(K237&gt;0,"En progreso","No iniciado")))</f>
        <v>No iniciado</v>
      </c>
      <c r="K237" s="95">
        <v>0.0</v>
      </c>
      <c r="L237" s="91">
        <f t="array" ref="L237">INDEX(NLAB,MATCH($F$238,FECHAS,0))-1-INDEX(NLAB,MATCH(G237,FECHAS,0))</f>
        <v>0</v>
      </c>
      <c r="M237" s="91">
        <v>4.0</v>
      </c>
      <c r="N237" s="91" t="str">
        <f t="shared" ref="N237:N239" si="79">IF(M237&lt;=0,"Sí","No")</f>
        <v>No</v>
      </c>
      <c r="AH237" s="41"/>
    </row>
    <row r="238" ht="15.75" customHeight="1" outlineLevel="3">
      <c r="A238" s="91" t="s">
        <v>188</v>
      </c>
      <c r="B238" s="91" t="s">
        <v>661</v>
      </c>
      <c r="C238" s="11"/>
      <c r="D238" s="11" t="s">
        <v>662</v>
      </c>
      <c r="E238" s="92">
        <v>5.0</v>
      </c>
      <c r="F238" s="94">
        <f t="array" ref="F238">INDEX(FECHAS,MATCH(INDEX(NLAB,MATCH($G$237,FECHAS,0))+1,NLAB,0))</f>
        <v>46412</v>
      </c>
      <c r="G238" s="94">
        <f t="array" ref="G238">IF(E238=0,F238,INDEX(FECHAS,MATCH(INDEX(NLAB,MATCH(F238,FECHAS,0))+E238-1,NLAB,0)))</f>
        <v>46416</v>
      </c>
      <c r="H238" s="22" t="s">
        <v>659</v>
      </c>
      <c r="I238" s="11" t="s">
        <v>473</v>
      </c>
      <c r="J238" s="91" t="str">
        <f>IF(K238&gt;=1,"Completado",IF(G238&lt;FECHA_ESTADO,"Atrasado",IF(K238&gt;0,"En progreso","No iniciado")))</f>
        <v>No iniciado</v>
      </c>
      <c r="K238" s="95">
        <v>0.0</v>
      </c>
      <c r="L238" s="91">
        <f t="array" ref="L238">INDEX(NLAB,MATCH($F$239,FECHAS,0))-1-INDEX(NLAB,MATCH(G238,FECHAS,0))</f>
        <v>0</v>
      </c>
      <c r="M238" s="91">
        <v>4.0</v>
      </c>
      <c r="N238" s="91" t="str">
        <f t="shared" si="79"/>
        <v>No</v>
      </c>
      <c r="AI238" s="41"/>
    </row>
    <row r="239" ht="15.75" customHeight="1" outlineLevel="3">
      <c r="A239" s="91" t="s">
        <v>188</v>
      </c>
      <c r="B239" s="91" t="s">
        <v>653</v>
      </c>
      <c r="C239" s="11"/>
      <c r="D239" s="11" t="s">
        <v>663</v>
      </c>
      <c r="E239" s="92">
        <v>2.0</v>
      </c>
      <c r="F239" s="94">
        <f t="array" ref="F239">INDEX(FECHAS,MATCH(INDEX(NLAB,MATCH($G$238,FECHAS,0))+1,NLAB,0))</f>
        <v>46417</v>
      </c>
      <c r="G239" s="94">
        <f t="array" ref="G239">IF(E239=0,F239,INDEX(FECHAS,MATCH(INDEX(NLAB,MATCH(F239,FECHAS,0))+E239-1,NLAB,0)))</f>
        <v>46419</v>
      </c>
      <c r="H239" s="22" t="s">
        <v>661</v>
      </c>
      <c r="I239" s="11" t="s">
        <v>261</v>
      </c>
      <c r="J239" s="91" t="str">
        <f>IF(K239&gt;=1,"Completado",IF(G239&lt;FECHA_ESTADO,"Atrasado",IF(K239&gt;0,"En progreso","No iniciado")))</f>
        <v>No iniciado</v>
      </c>
      <c r="K239" s="95">
        <v>0.0</v>
      </c>
      <c r="L239" s="91">
        <f t="array" ref="L239">MIN(INDEX(NLAB,MATCH($F$234,FECHAS,0))-1,INDEX(NLAB,MATCH(DATE(2027,2,5),FECHAS,0)))-INDEX(NLAB,MATCH(G239,FECHAS,0))</f>
        <v>4</v>
      </c>
      <c r="M239" s="91">
        <v>4.0</v>
      </c>
      <c r="N239" s="91" t="str">
        <f t="shared" si="79"/>
        <v>No</v>
      </c>
      <c r="AI239" s="41"/>
      <c r="AJ239" s="41"/>
    </row>
    <row r="240" ht="15.75" customHeight="1" outlineLevel="2">
      <c r="A240" s="116" t="s">
        <v>188</v>
      </c>
      <c r="B240" s="116" t="s">
        <v>664</v>
      </c>
      <c r="C240" s="117" t="s">
        <v>462</v>
      </c>
      <c r="D240" s="117"/>
      <c r="E240" s="116">
        <f t="array" ref="E240">INDEX(NLAB,MATCH(G240,FECHAS,0))-INDEX(NLAB,MATCH(F240,FECHAS,0))+1</f>
        <v>1</v>
      </c>
      <c r="F240" s="118">
        <f>MIN(F241)</f>
        <v>46501</v>
      </c>
      <c r="G240" s="118">
        <f>MAX(G241)</f>
        <v>46501</v>
      </c>
      <c r="H240" s="119"/>
      <c r="I240" s="117"/>
      <c r="J240" s="116" t="str">
        <f>IF(K240&gt;=1,"Completado",IF(AND(G240&lt;FECHA_ESTADO,K240&lt;1),"Atrasado",IF(K240&gt;0,"En progreso","No iniciado")))</f>
        <v>No iniciado</v>
      </c>
      <c r="K240" s="120">
        <f>IFERROR(SUMPRODUCT(--(C241=""),E241,K241)/SUMPRODUCT(--(C241=""),E241),0)</f>
        <v>0</v>
      </c>
      <c r="L240" s="116"/>
      <c r="M240" s="116"/>
      <c r="N240" s="116"/>
      <c r="AU240" s="41"/>
    </row>
    <row r="241" ht="27.0" customHeight="1" outlineLevel="3">
      <c r="A241" s="91" t="s">
        <v>188</v>
      </c>
      <c r="B241" s="91" t="s">
        <v>665</v>
      </c>
      <c r="C241" s="11"/>
      <c r="D241" s="11" t="s">
        <v>666</v>
      </c>
      <c r="E241" s="92">
        <v>1.0</v>
      </c>
      <c r="F241" s="93">
        <v>46501.0</v>
      </c>
      <c r="G241" s="94">
        <f t="array" ref="G241">IF(E241=0,F241,INDEX(FECHAS,MATCH(INDEX(NLAB,MATCH(F241,FECHAS,0))+E241-1,NLAB,0)))</f>
        <v>46501</v>
      </c>
      <c r="H241" s="22" t="s">
        <v>391</v>
      </c>
      <c r="I241" s="11" t="s">
        <v>449</v>
      </c>
      <c r="J241" s="91" t="str">
        <f>IF(K241&gt;=1,"Completado",IF(G241&lt;FECHA_ESTADO,"Atrasado",IF(K241&gt;0,"En progreso","No iniciado")))</f>
        <v>No iniciado</v>
      </c>
      <c r="K241" s="95">
        <v>0.0</v>
      </c>
      <c r="L241" s="91">
        <f t="array" ref="L241">INDEX(NLAB,MATCH(FIN_PROY,FECHAS,0))-INDEX(NLAB,MATCH(G241,FECHAS,0))</f>
        <v>94</v>
      </c>
      <c r="M241" s="91">
        <v>0.0</v>
      </c>
      <c r="N241" s="91" t="str">
        <f>IF(M241&lt;=0,"Sí","No")</f>
        <v>Sí</v>
      </c>
      <c r="AU241" s="41"/>
    </row>
    <row r="242" ht="15.75" customHeight="1" outlineLevel="2">
      <c r="A242" s="116" t="s">
        <v>188</v>
      </c>
      <c r="B242" s="116" t="s">
        <v>667</v>
      </c>
      <c r="C242" s="117" t="s">
        <v>668</v>
      </c>
      <c r="D242" s="117"/>
      <c r="E242" s="116">
        <f t="array" ref="E242">INDEX(NLAB,MATCH(G242,FECHAS,0))-INDEX(NLAB,MATCH(F242,FECHAS,0))+1</f>
        <v>9</v>
      </c>
      <c r="F242" s="118">
        <f>MIN(F243:F245)</f>
        <v>46494</v>
      </c>
      <c r="G242" s="118">
        <f>MAX(G243:G245)</f>
        <v>46504</v>
      </c>
      <c r="H242" s="119"/>
      <c r="I242" s="117"/>
      <c r="J242" s="116" t="str">
        <f>IF(K242&gt;=1,"Completado",IF(AND(G242&lt;FECHA_ESTADO,K242&lt;1),"Atrasado",IF(K242&gt;0,"En progreso","No iniciado")))</f>
        <v>No iniciado</v>
      </c>
      <c r="K242" s="120">
        <f>IFERROR(SUMPRODUCT(--(C243:C245=""),E243:E245,K243:K245)/SUMPRODUCT(--(C243:C245=""),E243:E245),0)</f>
        <v>0</v>
      </c>
      <c r="L242" s="116"/>
      <c r="M242" s="116"/>
      <c r="N242" s="116"/>
      <c r="AT242" s="41"/>
      <c r="AU242" s="41"/>
      <c r="AV242" s="41"/>
    </row>
    <row r="243" ht="15.75" customHeight="1" outlineLevel="3">
      <c r="A243" s="91" t="s">
        <v>188</v>
      </c>
      <c r="B243" s="91" t="s">
        <v>669</v>
      </c>
      <c r="C243" s="11"/>
      <c r="D243" s="11" t="s">
        <v>670</v>
      </c>
      <c r="E243" s="92">
        <v>6.0</v>
      </c>
      <c r="F243" s="93">
        <v>46494.0</v>
      </c>
      <c r="G243" s="94">
        <f t="array" ref="G243">IF(E243=0,F243,INDEX(FECHAS,MATCH(INDEX(NLAB,MATCH(F243,FECHAS,0))+E243-1,NLAB,0)))</f>
        <v>46500</v>
      </c>
      <c r="H243" s="22" t="s">
        <v>655</v>
      </c>
      <c r="I243" s="11" t="s">
        <v>654</v>
      </c>
      <c r="J243" s="91" t="str">
        <f>IF(K243&gt;=1,"Completado",IF(G243&lt;FECHA_ESTADO,"Atrasado",IF(K243&gt;0,"En progreso","No iniciado")))</f>
        <v>No iniciado</v>
      </c>
      <c r="K243" s="95">
        <v>0.0</v>
      </c>
      <c r="L243" s="91">
        <f t="array" ref="L243">INDEX(NLAB,MATCH($F$244,FECHAS,0))-1-INDEX(NLAB,MATCH(G243,FECHAS,0))</f>
        <v>0</v>
      </c>
      <c r="M243" s="91">
        <v>0.0</v>
      </c>
      <c r="N243" s="91" t="str">
        <f t="shared" ref="N243:N245" si="80">IF(M243&lt;=0,"Sí","No")</f>
        <v>Sí</v>
      </c>
      <c r="AT243" s="41"/>
      <c r="AU243" s="41"/>
    </row>
    <row r="244" ht="15.75" customHeight="1" outlineLevel="3">
      <c r="A244" s="91" t="s">
        <v>188</v>
      </c>
      <c r="B244" s="91" t="s">
        <v>204</v>
      </c>
      <c r="C244" s="11"/>
      <c r="D244" s="11" t="s">
        <v>671</v>
      </c>
      <c r="E244" s="92">
        <v>1.0</v>
      </c>
      <c r="F244" s="93">
        <v>46501.0</v>
      </c>
      <c r="G244" s="94">
        <f t="array" ref="G244">IF(E244=0,F244,INDEX(FECHAS,MATCH(INDEX(NLAB,MATCH(F244,FECHAS,0))+E244-1,NLAB,0)))</f>
        <v>46501</v>
      </c>
      <c r="H244" s="22" t="s">
        <v>672</v>
      </c>
      <c r="I244" s="11" t="s">
        <v>673</v>
      </c>
      <c r="J244" s="91" t="str">
        <f>IF(K244&gt;=1,"Completado",IF(G244&lt;FECHA_ESTADO,"Atrasado",IF(K244&gt;0,"En progreso","No iniciado")))</f>
        <v>No iniciado</v>
      </c>
      <c r="K244" s="95">
        <v>0.0</v>
      </c>
      <c r="L244" s="91">
        <f t="array" ref="L244">MIN(INDEX(NLAB,MATCH($F$100,FECHAS,0))-1,INDEX(NLAB,MATCH($F$161,FECHAS,0))-1,INDEX(NLAB,MATCH($F$163,FECHAS,0))-1,INDEX(NLAB,MATCH($F$245,FECHAS,0))-1,INDEX(NLAB,MATCH($F$247,FECHAS,0))-1,INDEX(NLAB,MATCH($F$249,FECHAS,0))-1,INDEX(NLAB,MATCH(DATE(2027,4,24),FECHAS,0)))-INDEX(NLAB,MATCH(G244,FECHAS,0))</f>
        <v>0</v>
      </c>
      <c r="M244" s="91">
        <v>0.0</v>
      </c>
      <c r="N244" s="91" t="str">
        <f t="shared" si="80"/>
        <v>Sí</v>
      </c>
      <c r="AU244" s="41"/>
    </row>
    <row r="245" ht="27.0" customHeight="1" outlineLevel="3">
      <c r="A245" s="91" t="s">
        <v>188</v>
      </c>
      <c r="B245" s="91" t="s">
        <v>674</v>
      </c>
      <c r="C245" s="11"/>
      <c r="D245" s="11" t="s">
        <v>675</v>
      </c>
      <c r="E245" s="92">
        <v>2.0</v>
      </c>
      <c r="F245" s="94">
        <f t="array" ref="F245">INDEX(FECHAS,MATCH(INDEX(NLAB,MATCH($G$244,FECHAS,0))+1,NLAB,0))</f>
        <v>46503</v>
      </c>
      <c r="G245" s="94">
        <f t="array" ref="G245">IF(E245=0,F245,INDEX(FECHAS,MATCH(INDEX(NLAB,MATCH(F245,FECHAS,0))+E245-1,NLAB,0)))</f>
        <v>46504</v>
      </c>
      <c r="H245" s="22" t="s">
        <v>204</v>
      </c>
      <c r="I245" s="11" t="s">
        <v>335</v>
      </c>
      <c r="J245" s="91" t="str">
        <f>IF(K245&gt;=1,"Completado",IF(G245&lt;FECHA_ESTADO,"Atrasado",IF(K245&gt;0,"En progreso","No iniciado")))</f>
        <v>No iniciado</v>
      </c>
      <c r="K245" s="95">
        <v>0.0</v>
      </c>
      <c r="L245" s="91">
        <f t="array" ref="L245">INDEX(NLAB,MATCH($F$328,FECHAS,0))-1-INDEX(NLAB,MATCH(G245,FECHAS,0))</f>
        <v>0</v>
      </c>
      <c r="M245" s="91">
        <v>1.0</v>
      </c>
      <c r="N245" s="91" t="str">
        <f t="shared" si="80"/>
        <v>No</v>
      </c>
      <c r="AV245" s="41"/>
    </row>
    <row r="246" ht="15.75" customHeight="1" outlineLevel="2">
      <c r="A246" s="116" t="s">
        <v>188</v>
      </c>
      <c r="B246" s="116" t="s">
        <v>676</v>
      </c>
      <c r="C246" s="117" t="s">
        <v>628</v>
      </c>
      <c r="D246" s="117"/>
      <c r="E246" s="116">
        <f t="array" ref="E246">INDEX(NLAB,MATCH(G246,FECHAS,0))-INDEX(NLAB,MATCH(F246,FECHAS,0))+1</f>
        <v>2</v>
      </c>
      <c r="F246" s="118">
        <f>MIN(F247)</f>
        <v>46503</v>
      </c>
      <c r="G246" s="118">
        <f>MAX(G247)</f>
        <v>46504</v>
      </c>
      <c r="H246" s="119"/>
      <c r="I246" s="117"/>
      <c r="J246" s="116" t="str">
        <f>IF(K246&gt;=1,"Completado",IF(AND(G246&lt;FECHA_ESTADO,K246&lt;1),"Atrasado",IF(K246&gt;0,"En progreso","No iniciado")))</f>
        <v>No iniciado</v>
      </c>
      <c r="K246" s="120">
        <f>IFERROR(SUMPRODUCT(--(C247=""),E247,K247)/SUMPRODUCT(--(C247=""),E247),0)</f>
        <v>0</v>
      </c>
      <c r="L246" s="116"/>
      <c r="M246" s="116"/>
      <c r="N246" s="116"/>
      <c r="AV246" s="41"/>
    </row>
    <row r="247" ht="15.75" customHeight="1" outlineLevel="3">
      <c r="A247" s="91" t="s">
        <v>188</v>
      </c>
      <c r="B247" s="91" t="s">
        <v>677</v>
      </c>
      <c r="C247" s="11"/>
      <c r="D247" s="11" t="s">
        <v>630</v>
      </c>
      <c r="E247" s="92">
        <v>2.0</v>
      </c>
      <c r="F247" s="94">
        <f t="array" ref="F247">INDEX(FECHAS,MATCH(INDEX(NLAB,MATCH($G$244,FECHAS,0))+1,NLAB,0))</f>
        <v>46503</v>
      </c>
      <c r="G247" s="94">
        <f t="array" ref="G247">IF(E247=0,F247,INDEX(FECHAS,MATCH(INDEX(NLAB,MATCH(F247,FECHAS,0))+E247-1,NLAB,0)))</f>
        <v>46504</v>
      </c>
      <c r="H247" s="22" t="s">
        <v>204</v>
      </c>
      <c r="I247" s="11" t="s">
        <v>631</v>
      </c>
      <c r="J247" s="91" t="str">
        <f>IF(K247&gt;=1,"Completado",IF(G247&lt;FECHA_ESTADO,"Atrasado",IF(K247&gt;0,"En progreso","No iniciado")))</f>
        <v>No iniciado</v>
      </c>
      <c r="K247" s="95">
        <v>0.0</v>
      </c>
      <c r="L247" s="91">
        <f t="array" ref="L247">INDEX(NLAB,MATCH($F$328,FECHAS,0))-1-INDEX(NLAB,MATCH(G247,FECHAS,0))</f>
        <v>0</v>
      </c>
      <c r="M247" s="91">
        <v>1.0</v>
      </c>
      <c r="N247" s="91" t="str">
        <f>IF(M247&lt;=0,"Sí","No")</f>
        <v>No</v>
      </c>
      <c r="AV247" s="41"/>
    </row>
    <row r="248" ht="15.75" customHeight="1" outlineLevel="2">
      <c r="A248" s="116" t="s">
        <v>188</v>
      </c>
      <c r="B248" s="116" t="s">
        <v>678</v>
      </c>
      <c r="C248" s="117" t="s">
        <v>496</v>
      </c>
      <c r="D248" s="117"/>
      <c r="E248" s="116">
        <f t="array" ref="E248">INDEX(NLAB,MATCH(G248,FECHAS,0))-INDEX(NLAB,MATCH(F248,FECHAS,0))+1</f>
        <v>1</v>
      </c>
      <c r="F248" s="118">
        <f>MIN(F249)</f>
        <v>46503</v>
      </c>
      <c r="G248" s="118">
        <f>MAX(G249)</f>
        <v>46503</v>
      </c>
      <c r="H248" s="119"/>
      <c r="I248" s="117"/>
      <c r="J248" s="116" t="str">
        <f>IF(K248&gt;=1,"Completado",IF(AND(G248&lt;FECHA_ESTADO,K248&lt;1),"Atrasado",IF(K248&gt;0,"En progreso","No iniciado")))</f>
        <v>No iniciado</v>
      </c>
      <c r="K248" s="120">
        <f>IFERROR(SUMPRODUCT(--(C249=""),E249,K249)/SUMPRODUCT(--(C249=""),E249),0)</f>
        <v>0</v>
      </c>
      <c r="L248" s="116"/>
      <c r="M248" s="116"/>
      <c r="N248" s="116"/>
      <c r="AV248" s="41"/>
    </row>
    <row r="249" ht="15.75" customHeight="1" outlineLevel="3">
      <c r="A249" s="91" t="s">
        <v>188</v>
      </c>
      <c r="B249" s="91" t="s">
        <v>679</v>
      </c>
      <c r="C249" s="11"/>
      <c r="D249" s="11" t="s">
        <v>634</v>
      </c>
      <c r="E249" s="92">
        <v>1.0</v>
      </c>
      <c r="F249" s="94">
        <f t="array" ref="F249">INDEX(FECHAS,MATCH(INDEX(NLAB,MATCH($G$244,FECHAS,0))+1,NLAB,0))</f>
        <v>46503</v>
      </c>
      <c r="G249" s="94">
        <f t="array" ref="G249">IF(E249=0,F249,INDEX(FECHAS,MATCH(INDEX(NLAB,MATCH(F249,FECHAS,0))+E249-1,NLAB,0)))</f>
        <v>46503</v>
      </c>
      <c r="H249" s="22" t="s">
        <v>204</v>
      </c>
      <c r="I249" s="11" t="s">
        <v>335</v>
      </c>
      <c r="J249" s="91" t="str">
        <f>IF(K249&gt;=1,"Completado",IF(G249&lt;FECHA_ESTADO,"Atrasado",IF(K249&gt;0,"En progreso","No iniciado")))</f>
        <v>No iniciado</v>
      </c>
      <c r="K249" s="95">
        <v>0.0</v>
      </c>
      <c r="L249" s="91">
        <f t="array" ref="L249">INDEX(NLAB,MATCH($F$328,FECHAS,0))-1-INDEX(NLAB,MATCH(G249,FECHAS,0))</f>
        <v>1</v>
      </c>
      <c r="M249" s="91">
        <v>2.0</v>
      </c>
      <c r="N249" s="91" t="str">
        <f>IF(M249&lt;=0,"Sí","No")</f>
        <v>No</v>
      </c>
      <c r="AV249" s="41"/>
    </row>
    <row r="250" ht="27.0" customHeight="1" outlineLevel="1">
      <c r="A250" s="111" t="s">
        <v>188</v>
      </c>
      <c r="B250" s="111" t="s">
        <v>680</v>
      </c>
      <c r="C250" s="112" t="s">
        <v>681</v>
      </c>
      <c r="D250" s="112"/>
      <c r="E250" s="111">
        <f t="array" ref="E250">INDEX(NLAB,MATCH(G250,FECHAS,0))-INDEX(NLAB,MATCH(F250,FECHAS,0))+1</f>
        <v>125</v>
      </c>
      <c r="F250" s="113">
        <f>MIN(F251:F277)</f>
        <v>46391</v>
      </c>
      <c r="G250" s="113">
        <f>MAX(G251:G277)</f>
        <v>46539</v>
      </c>
      <c r="H250" s="114"/>
      <c r="I250" s="112"/>
      <c r="J250" s="111" t="str">
        <f>IF(K250&gt;=1,"Completado",IF(AND(G250&lt;FECHA_ESTADO,K250&lt;1),"Atrasado",IF(K250&gt;0,"En progreso","No iniciado")))</f>
        <v>No iniciado</v>
      </c>
      <c r="K250" s="115">
        <f>IFERROR(SUMPRODUCT(--(C251:C277=""),E251:E277,K251:K277)/SUMPRODUCT(--(C251:C277=""),E251:E277),0)</f>
        <v>0</v>
      </c>
      <c r="L250" s="111"/>
      <c r="M250" s="111"/>
      <c r="N250" s="11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</row>
    <row r="251" ht="15.75" customHeight="1" outlineLevel="2">
      <c r="A251" s="116" t="s">
        <v>188</v>
      </c>
      <c r="B251" s="116" t="s">
        <v>682</v>
      </c>
      <c r="C251" s="117" t="s">
        <v>428</v>
      </c>
      <c r="D251" s="117"/>
      <c r="E251" s="116">
        <f t="array" ref="E251">INDEX(NLAB,MATCH(G251,FECHAS,0))-INDEX(NLAB,MATCH(F251,FECHAS,0))+1</f>
        <v>17</v>
      </c>
      <c r="F251" s="118">
        <f>MIN(F252:F257)</f>
        <v>46513</v>
      </c>
      <c r="G251" s="118">
        <f>MAX(G252:G257)</f>
        <v>46532</v>
      </c>
      <c r="H251" s="119"/>
      <c r="I251" s="117"/>
      <c r="J251" s="116" t="str">
        <f>IF(K251&gt;=1,"Completado",IF(AND(G251&lt;FECHA_ESTADO,K251&lt;1),"Atrasado",IF(K251&gt;0,"En progreso","No iniciado")))</f>
        <v>No iniciado</v>
      </c>
      <c r="K251" s="120">
        <f>IFERROR(SUMPRODUCT(--(C252:C257=""),E252:E257,K252:K257)/SUMPRODUCT(--(C252:C257=""),E252:E257),0)</f>
        <v>0</v>
      </c>
      <c r="L251" s="116"/>
      <c r="M251" s="116"/>
      <c r="N251" s="116"/>
      <c r="AW251" s="41"/>
      <c r="AX251" s="41"/>
      <c r="AY251" s="41"/>
      <c r="AZ251" s="41"/>
    </row>
    <row r="252" ht="15.75" customHeight="1" outlineLevel="3">
      <c r="A252" s="116" t="s">
        <v>188</v>
      </c>
      <c r="B252" s="116" t="s">
        <v>683</v>
      </c>
      <c r="C252" s="117" t="s">
        <v>430</v>
      </c>
      <c r="D252" s="117"/>
      <c r="E252" s="116">
        <f t="array" ref="E252">INDEX(NLAB,MATCH(G252,FECHAS,0))-INDEX(NLAB,MATCH(F252,FECHAS,0))+1</f>
        <v>6</v>
      </c>
      <c r="F252" s="118">
        <f>MIN(F253)</f>
        <v>46513</v>
      </c>
      <c r="G252" s="118">
        <f>MAX(G253)</f>
        <v>46519</v>
      </c>
      <c r="H252" s="119"/>
      <c r="I252" s="117"/>
      <c r="J252" s="116" t="str">
        <f>IF(K252&gt;=1,"Completado",IF(AND(G252&lt;FECHA_ESTADO,K252&lt;1),"Atrasado",IF(K252&gt;0,"En progreso","No iniciado")))</f>
        <v>No iniciado</v>
      </c>
      <c r="K252" s="120">
        <f>IFERROR(SUMPRODUCT(--(C253=""),E253,K253)/SUMPRODUCT(--(C253=""),E253),0)</f>
        <v>0</v>
      </c>
      <c r="L252" s="116"/>
      <c r="M252" s="116"/>
      <c r="N252" s="116"/>
      <c r="AW252" s="41"/>
      <c r="AX252" s="41"/>
    </row>
    <row r="253" ht="15.75" customHeight="1" outlineLevel="4">
      <c r="A253" s="91" t="s">
        <v>188</v>
      </c>
      <c r="B253" s="91" t="s">
        <v>684</v>
      </c>
      <c r="C253" s="11"/>
      <c r="D253" s="11" t="s">
        <v>432</v>
      </c>
      <c r="E253" s="92">
        <v>6.0</v>
      </c>
      <c r="F253" s="94">
        <f t="array" ref="F253">INDEX(FECHAS,MATCH(INDEX(NLAB,MATCH($F$272,FECHAS,0))-20,NLAB,0))</f>
        <v>46513</v>
      </c>
      <c r="G253" s="94">
        <f t="array" ref="G253">IF(E253=0,F253,INDEX(FECHAS,MATCH(INDEX(NLAB,MATCH(F253,FECHAS,0))+E253-1,NLAB,0)))</f>
        <v>46519</v>
      </c>
      <c r="H253" s="22" t="s">
        <v>336</v>
      </c>
      <c r="I253" s="11" t="s">
        <v>433</v>
      </c>
      <c r="J253" s="91" t="str">
        <f>IF(K253&gt;=1,"Completado",IF(G253&lt;FECHA_ESTADO,"Atrasado",IF(K253&gt;0,"En progreso","No iniciado")))</f>
        <v>No iniciado</v>
      </c>
      <c r="K253" s="95">
        <v>0.0</v>
      </c>
      <c r="L253" s="91">
        <f t="array" ref="L253">INDEX(NLAB,MATCH($F$255,FECHAS,0))-1-INDEX(NLAB,MATCH(G253,FECHAS,0))</f>
        <v>0</v>
      </c>
      <c r="M253" s="91">
        <v>11.0</v>
      </c>
      <c r="N253" s="91" t="str">
        <f>IF(M253&lt;=0,"Sí","No")</f>
        <v>No</v>
      </c>
      <c r="AW253" s="41"/>
      <c r="AX253" s="41"/>
    </row>
    <row r="254" ht="15.75" customHeight="1" outlineLevel="3">
      <c r="A254" s="116" t="s">
        <v>188</v>
      </c>
      <c r="B254" s="116" t="s">
        <v>685</v>
      </c>
      <c r="C254" s="117" t="s">
        <v>435</v>
      </c>
      <c r="D254" s="117"/>
      <c r="E254" s="116">
        <f t="array" ref="E254">INDEX(NLAB,MATCH(G254,FECHAS,0))-INDEX(NLAB,MATCH(F254,FECHAS,0))+1</f>
        <v>2</v>
      </c>
      <c r="F254" s="118">
        <f>MIN(F255)</f>
        <v>46520</v>
      </c>
      <c r="G254" s="118">
        <f>MAX(G255)</f>
        <v>46521</v>
      </c>
      <c r="H254" s="119"/>
      <c r="I254" s="117"/>
      <c r="J254" s="116" t="str">
        <f>IF(K254&gt;=1,"Completado",IF(AND(G254&lt;FECHA_ESTADO,K254&lt;1),"Atrasado",IF(K254&gt;0,"En progreso","No iniciado")))</f>
        <v>No iniciado</v>
      </c>
      <c r="K254" s="120">
        <f>IFERROR(SUMPRODUCT(--(C255=""),E255,K255)/SUMPRODUCT(--(C255=""),E255),0)</f>
        <v>0</v>
      </c>
      <c r="L254" s="116"/>
      <c r="M254" s="116"/>
      <c r="N254" s="116"/>
      <c r="AX254" s="41"/>
    </row>
    <row r="255" ht="27.0" customHeight="1" outlineLevel="4">
      <c r="A255" s="91" t="s">
        <v>188</v>
      </c>
      <c r="B255" s="91" t="s">
        <v>686</v>
      </c>
      <c r="C255" s="11"/>
      <c r="D255" s="11" t="s">
        <v>437</v>
      </c>
      <c r="E255" s="92">
        <v>2.0</v>
      </c>
      <c r="F255" s="94">
        <f t="array" ref="F255">INDEX(FECHAS,MATCH(INDEX(NLAB,MATCH($G$253,FECHAS,0))+1,NLAB,0))</f>
        <v>46520</v>
      </c>
      <c r="G255" s="94">
        <f t="array" ref="G255">IF(E255=0,F255,INDEX(FECHAS,MATCH(INDEX(NLAB,MATCH(F255,FECHAS,0))+E255-1,NLAB,0)))</f>
        <v>46521</v>
      </c>
      <c r="H255" s="22" t="s">
        <v>684</v>
      </c>
      <c r="I255" s="11" t="s">
        <v>438</v>
      </c>
      <c r="J255" s="91" t="str">
        <f>IF(K255&gt;=1,"Completado",IF(G255&lt;FECHA_ESTADO,"Atrasado",IF(K255&gt;0,"En progreso","No iniciado")))</f>
        <v>No iniciado</v>
      </c>
      <c r="K255" s="95">
        <v>0.0</v>
      </c>
      <c r="L255" s="91">
        <f t="array" ref="L255">INDEX(NLAB,MATCH($F$257,FECHAS,0))-1-INDEX(NLAB,MATCH(G255,FECHAS,0))</f>
        <v>8</v>
      </c>
      <c r="M255" s="91">
        <v>11.0</v>
      </c>
      <c r="N255" s="91" t="str">
        <f>IF(M255&lt;=0,"Sí","No")</f>
        <v>No</v>
      </c>
      <c r="AX255" s="41"/>
    </row>
    <row r="256" ht="15.75" customHeight="1" outlineLevel="3">
      <c r="A256" s="116" t="s">
        <v>188</v>
      </c>
      <c r="B256" s="116" t="s">
        <v>687</v>
      </c>
      <c r="C256" s="117" t="s">
        <v>440</v>
      </c>
      <c r="D256" s="117"/>
      <c r="E256" s="116">
        <f t="array" ref="E256">INDEX(NLAB,MATCH(G256,FECHAS,0))-INDEX(NLAB,MATCH(F256,FECHAS,0))+1</f>
        <v>1</v>
      </c>
      <c r="F256" s="118">
        <f>MIN(F257)</f>
        <v>46532</v>
      </c>
      <c r="G256" s="118">
        <f>MAX(G257)</f>
        <v>46532</v>
      </c>
      <c r="H256" s="119"/>
      <c r="I256" s="117"/>
      <c r="J256" s="116" t="str">
        <f>IF(K256&gt;=1,"Completado",IF(AND(G256&lt;FECHA_ESTADO,K256&lt;1),"Atrasado",IF(K256&gt;0,"En progreso","No iniciado")))</f>
        <v>No iniciado</v>
      </c>
      <c r="K256" s="120">
        <f>IFERROR(SUMPRODUCT(--(C257=""),E257,K257)/SUMPRODUCT(--(C257=""),E257),0)</f>
        <v>0</v>
      </c>
      <c r="L256" s="116"/>
      <c r="M256" s="116"/>
      <c r="N256" s="116"/>
      <c r="AZ256" s="41"/>
    </row>
    <row r="257" ht="15.75" customHeight="1" outlineLevel="4">
      <c r="A257" s="91" t="s">
        <v>188</v>
      </c>
      <c r="B257" s="91" t="s">
        <v>688</v>
      </c>
      <c r="C257" s="11"/>
      <c r="D257" s="11" t="s">
        <v>442</v>
      </c>
      <c r="E257" s="92">
        <v>1.0</v>
      </c>
      <c r="F257" s="94">
        <f t="array" ref="F257">INDEX(FECHAS,MATCH(INDEX(NLAB,MATCH($F$272,FECHAS,0))-4,NLAB,0))</f>
        <v>46532</v>
      </c>
      <c r="G257" s="94">
        <f t="array" ref="G257">IF(E257=0,F257,INDEX(FECHAS,MATCH(INDEX(NLAB,MATCH(F257,FECHAS,0))+E257-1,NLAB,0)))</f>
        <v>46532</v>
      </c>
      <c r="H257" s="22" t="s">
        <v>686</v>
      </c>
      <c r="I257" s="11" t="s">
        <v>443</v>
      </c>
      <c r="J257" s="91" t="str">
        <f>IF(K257&gt;=1,"Completado",IF(G257&lt;FECHA_ESTADO,"Atrasado",IF(K257&gt;0,"En progreso","No iniciado")))</f>
        <v>No iniciado</v>
      </c>
      <c r="K257" s="95">
        <v>0.0</v>
      </c>
      <c r="L257" s="91">
        <f t="array" ref="L257">INDEX(NLAB,MATCH($F$272,FECHAS,0))-1-INDEX(NLAB,MATCH(G257,FECHAS,0))</f>
        <v>3</v>
      </c>
      <c r="M257" s="91">
        <v>3.0</v>
      </c>
      <c r="N257" s="91" t="str">
        <f>IF(M257&lt;=0,"Sí","No")</f>
        <v>No</v>
      </c>
      <c r="AZ257" s="41"/>
    </row>
    <row r="258" ht="15.75" customHeight="1" outlineLevel="2">
      <c r="A258" s="116" t="s">
        <v>188</v>
      </c>
      <c r="B258" s="116" t="s">
        <v>689</v>
      </c>
      <c r="C258" s="117" t="s">
        <v>445</v>
      </c>
      <c r="D258" s="117"/>
      <c r="E258" s="116">
        <f t="array" ref="E258">INDEX(NLAB,MATCH(G258,FECHAS,0))-INDEX(NLAB,MATCH(F258,FECHAS,0))+1</f>
        <v>118</v>
      </c>
      <c r="F258" s="118">
        <f>MIN(F259:F263)</f>
        <v>46391</v>
      </c>
      <c r="G258" s="118">
        <f>MAX(G259:G263)</f>
        <v>46531</v>
      </c>
      <c r="H258" s="119"/>
      <c r="I258" s="117"/>
      <c r="J258" s="116" t="str">
        <f>IF(K258&gt;=1,"Completado",IF(AND(G258&lt;FECHA_ESTADO,K258&lt;1),"Atrasado",IF(K258&gt;0,"En progreso","No iniciado")))</f>
        <v>No iniciado</v>
      </c>
      <c r="K258" s="120">
        <f>IFERROR(SUMPRODUCT(--(C259:C263=""),E259:E263,K259:K263)/SUMPRODUCT(--(C259:C263=""),E259:E263),0)</f>
        <v>0</v>
      </c>
      <c r="L258" s="116"/>
      <c r="M258" s="116"/>
      <c r="N258" s="116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</row>
    <row r="259" ht="27.0" customHeight="1" outlineLevel="3">
      <c r="A259" s="91" t="s">
        <v>188</v>
      </c>
      <c r="B259" s="91" t="s">
        <v>690</v>
      </c>
      <c r="C259" s="11"/>
      <c r="D259" s="11" t="s">
        <v>691</v>
      </c>
      <c r="E259" s="92">
        <v>9.0</v>
      </c>
      <c r="F259" s="121">
        <v>46391.0</v>
      </c>
      <c r="G259" s="94">
        <f t="array" ref="G259">IF(E259=0,F259,INDEX(FECHAS,MATCH(INDEX(NLAB,MATCH(F259,FECHAS,0))+E259-1,NLAB,0)))</f>
        <v>46400</v>
      </c>
      <c r="H259" s="22" t="s">
        <v>448</v>
      </c>
      <c r="I259" s="11" t="s">
        <v>449</v>
      </c>
      <c r="J259" s="91" t="str">
        <f>IF(K259&gt;=1,"Completado",IF(G259&lt;FECHA_ESTADO,"Atrasado",IF(K259&gt;0,"En progreso","No iniciado")))</f>
        <v>No iniciado</v>
      </c>
      <c r="K259" s="95">
        <v>0.0</v>
      </c>
      <c r="L259" s="91">
        <f t="array" ref="L259">MIN(INDEX(NLAB,MATCH($F$262,FECHAS,0))-1,INDEX(NLAB,MATCH($F$263,FECHAS,0))-1,INDEX(NLAB,MATCH(DATE(2027,1,15),FECHAS,0)))-INDEX(NLAB,MATCH(G259,FECHAS,0))</f>
        <v>2</v>
      </c>
      <c r="M259" s="91">
        <v>2.0</v>
      </c>
      <c r="N259" s="91" t="str">
        <f t="shared" ref="N259:N263" si="81">IF(M259&lt;=0,"Sí","No")</f>
        <v>No</v>
      </c>
      <c r="AF259" s="41"/>
      <c r="AG259" s="41"/>
    </row>
    <row r="260" ht="15.75" customHeight="1" outlineLevel="3">
      <c r="A260" s="91" t="s">
        <v>188</v>
      </c>
      <c r="B260" s="91" t="s">
        <v>692</v>
      </c>
      <c r="C260" s="11"/>
      <c r="D260" s="11" t="s">
        <v>600</v>
      </c>
      <c r="E260" s="92">
        <v>6.0</v>
      </c>
      <c r="F260" s="121">
        <v>46405.0</v>
      </c>
      <c r="G260" s="94">
        <f t="array" ref="G260">IF(E260=0,F260,INDEX(FECHAS,MATCH(INDEX(NLAB,MATCH(F260,FECHAS,0))+E260-1,NLAB,0)))</f>
        <v>46410</v>
      </c>
      <c r="H260" s="22" t="s">
        <v>305</v>
      </c>
      <c r="I260" s="11" t="s">
        <v>266</v>
      </c>
      <c r="J260" s="91" t="str">
        <f>IF(K260&gt;=1,"Completado",IF(G260&lt;FECHA_ESTADO,"Atrasado",IF(K260&gt;0,"En progreso","No iniciado")))</f>
        <v>No iniciado</v>
      </c>
      <c r="K260" s="95">
        <v>0.0</v>
      </c>
      <c r="L260" s="91">
        <f t="array" ref="L260">MIN(INDEX(NLAB,MATCH($F$272,FECHAS,0))-1,INDEX(NLAB,MATCH(DATE(2027,2,5),FECHAS,0)))-INDEX(NLAB,MATCH(G260,FECHAS,0))</f>
        <v>11</v>
      </c>
      <c r="M260" s="91">
        <v>11.0</v>
      </c>
      <c r="N260" s="91" t="str">
        <f t="shared" si="81"/>
        <v>No</v>
      </c>
      <c r="AH260" s="41"/>
    </row>
    <row r="261" ht="27.0" customHeight="1" outlineLevel="3">
      <c r="A261" s="91" t="s">
        <v>188</v>
      </c>
      <c r="B261" s="91" t="s">
        <v>693</v>
      </c>
      <c r="C261" s="11"/>
      <c r="D261" s="11" t="s">
        <v>694</v>
      </c>
      <c r="E261" s="92">
        <v>3.0</v>
      </c>
      <c r="F261" s="94">
        <f t="array" ref="F261">INDEX(FECHAS,MATCH(INDEX(NLAB,MATCH($F$272,FECHAS,0))-20,NLAB,0))</f>
        <v>46513</v>
      </c>
      <c r="G261" s="94">
        <f t="array" ref="G261">IF(E261=0,F261,INDEX(FECHAS,MATCH(INDEX(NLAB,MATCH(F261,FECHAS,0))+E261-1,NLAB,0)))</f>
        <v>46515</v>
      </c>
      <c r="H261" s="22" t="s">
        <v>179</v>
      </c>
      <c r="I261" s="11" t="s">
        <v>300</v>
      </c>
      <c r="J261" s="91" t="str">
        <f>IF(K261&gt;=1,"Completado",IF(G261&lt;FECHA_ESTADO,"Atrasado",IF(K261&gt;0,"En progreso","No iniciado")))</f>
        <v>No iniciado</v>
      </c>
      <c r="K261" s="95">
        <v>0.0</v>
      </c>
      <c r="L261" s="91">
        <f t="array" ref="L261">INDEX(NLAB,MATCH($F$272,FECHAS,0))-1-INDEX(NLAB,MATCH(G261,FECHAS,0))</f>
        <v>17</v>
      </c>
      <c r="M261" s="91">
        <v>17.0</v>
      </c>
      <c r="N261" s="91" t="str">
        <f t="shared" si="81"/>
        <v>No</v>
      </c>
      <c r="AW261" s="41"/>
    </row>
    <row r="262" ht="27.0" customHeight="1" outlineLevel="3">
      <c r="A262" s="91" t="s">
        <v>188</v>
      </c>
      <c r="B262" s="91" t="s">
        <v>695</v>
      </c>
      <c r="C262" s="11"/>
      <c r="D262" s="11" t="s">
        <v>696</v>
      </c>
      <c r="E262" s="92">
        <v>1.0</v>
      </c>
      <c r="F262" s="94">
        <f t="array" ref="F262">INDEX(FECHAS,MATCH(INDEX(NLAB,MATCH($F$272,FECHAS,0))-14,NLAB,0))</f>
        <v>46520</v>
      </c>
      <c r="G262" s="94">
        <f t="array" ref="G262">IF(E262=0,F262,INDEX(FECHAS,MATCH(INDEX(NLAB,MATCH(F262,FECHAS,0))+E262-1,NLAB,0)))</f>
        <v>46520</v>
      </c>
      <c r="H262" s="22" t="s">
        <v>697</v>
      </c>
      <c r="I262" s="11" t="s">
        <v>449</v>
      </c>
      <c r="J262" s="91" t="str">
        <f>IF(K262&gt;=1,"Completado",IF(G262&lt;FECHA_ESTADO,"Atrasado",IF(K262&gt;0,"En progreso","No iniciado")))</f>
        <v>No iniciado</v>
      </c>
      <c r="K262" s="95">
        <v>0.0</v>
      </c>
      <c r="L262" s="91">
        <f t="array" ref="L262">INDEX(NLAB,MATCH($F$272,FECHAS,0))-1-INDEX(NLAB,MATCH(G262,FECHAS,0))</f>
        <v>13</v>
      </c>
      <c r="M262" s="91">
        <v>13.0</v>
      </c>
      <c r="N262" s="91" t="str">
        <f t="shared" si="81"/>
        <v>No</v>
      </c>
      <c r="AX262" s="41"/>
    </row>
    <row r="263" ht="27.0" customHeight="1" outlineLevel="3">
      <c r="A263" s="91" t="s">
        <v>188</v>
      </c>
      <c r="B263" s="91" t="s">
        <v>698</v>
      </c>
      <c r="C263" s="11"/>
      <c r="D263" s="11" t="s">
        <v>699</v>
      </c>
      <c r="E263" s="92">
        <v>1.0</v>
      </c>
      <c r="F263" s="94">
        <f t="array" ref="F263">INDEX(FECHAS,MATCH(INDEX(NLAB,MATCH($F$272,FECHAS,0))-5,NLAB,0))</f>
        <v>46531</v>
      </c>
      <c r="G263" s="94">
        <f t="array" ref="G263">IF(E263=0,F263,INDEX(FECHAS,MATCH(INDEX(NLAB,MATCH(F263,FECHAS,0))+E263-1,NLAB,0)))</f>
        <v>46531</v>
      </c>
      <c r="H263" s="22" t="s">
        <v>690</v>
      </c>
      <c r="I263" s="11" t="s">
        <v>700</v>
      </c>
      <c r="J263" s="91" t="str">
        <f>IF(K263&gt;=1,"Completado",IF(G263&lt;FECHA_ESTADO,"Atrasado",IF(K263&gt;0,"En progreso","No iniciado")))</f>
        <v>No iniciado</v>
      </c>
      <c r="K263" s="95">
        <v>0.0</v>
      </c>
      <c r="L263" s="91">
        <f t="array" ref="L263">INDEX(NLAB,MATCH($F$272,FECHAS,0))-1-INDEX(NLAB,MATCH(G263,FECHAS,0))</f>
        <v>4</v>
      </c>
      <c r="M263" s="91">
        <v>4.0</v>
      </c>
      <c r="N263" s="91" t="str">
        <f t="shared" si="81"/>
        <v>No</v>
      </c>
      <c r="AZ263" s="41"/>
    </row>
    <row r="264" ht="15.75" customHeight="1" outlineLevel="2">
      <c r="A264" s="116" t="s">
        <v>188</v>
      </c>
      <c r="B264" s="116" t="s">
        <v>701</v>
      </c>
      <c r="C264" s="117" t="s">
        <v>702</v>
      </c>
      <c r="D264" s="117"/>
      <c r="E264" s="116">
        <f t="array" ref="E264">INDEX(NLAB,MATCH(G264,FECHAS,0))-INDEX(NLAB,MATCH(F264,FECHAS,0))+1</f>
        <v>90</v>
      </c>
      <c r="F264" s="118">
        <f>MIN(F265:F268)</f>
        <v>46412</v>
      </c>
      <c r="G264" s="118">
        <f>MAX(G265:G268)</f>
        <v>46519</v>
      </c>
      <c r="H264" s="119"/>
      <c r="I264" s="117"/>
      <c r="J264" s="116" t="str">
        <f>IF(K264&gt;=1,"Completado",IF(AND(G264&lt;FECHA_ESTADO,K264&lt;1),"Atrasado",IF(K264&gt;0,"En progreso","No iniciado")))</f>
        <v>No iniciado</v>
      </c>
      <c r="K264" s="120">
        <f>IFERROR(SUMPRODUCT(--(C265:C268=""),E265:E268,K265:K268)/SUMPRODUCT(--(C265:C268=""),E265:E268),0)</f>
        <v>0</v>
      </c>
      <c r="L264" s="116"/>
      <c r="M264" s="116"/>
      <c r="N264" s="116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</row>
    <row r="265" ht="27.0" customHeight="1" outlineLevel="3">
      <c r="A265" s="91" t="s">
        <v>188</v>
      </c>
      <c r="B265" s="91" t="s">
        <v>703</v>
      </c>
      <c r="C265" s="11"/>
      <c r="D265" s="11" t="s">
        <v>704</v>
      </c>
      <c r="E265" s="92">
        <v>6.0</v>
      </c>
      <c r="F265" s="121">
        <v>46412.0</v>
      </c>
      <c r="G265" s="94">
        <f t="array" ref="G265">IF(E265=0,F265,INDEX(FECHAS,MATCH(INDEX(NLAB,MATCH(F265,FECHAS,0))+E265-1,NLAB,0)))</f>
        <v>46417</v>
      </c>
      <c r="H265" s="22" t="s">
        <v>305</v>
      </c>
      <c r="I265" s="11" t="s">
        <v>473</v>
      </c>
      <c r="J265" s="91" t="str">
        <f>IF(K265&gt;=1,"Completado",IF(G265&lt;FECHA_ESTADO,"Atrasado",IF(K265&gt;0,"En progreso","No iniciado")))</f>
        <v>No iniciado</v>
      </c>
      <c r="K265" s="95">
        <v>0.0</v>
      </c>
      <c r="L265" s="91">
        <f t="array" ref="L265">INDEX(NLAB,MATCH($F$266,FECHAS,0))-1-INDEX(NLAB,MATCH(G265,FECHAS,0))</f>
        <v>0</v>
      </c>
      <c r="M265" s="91">
        <v>3.0</v>
      </c>
      <c r="N265" s="91" t="str">
        <f t="shared" ref="N265:N268" si="82">IF(M265&lt;=0,"Sí","No")</f>
        <v>No</v>
      </c>
      <c r="AI265" s="41"/>
    </row>
    <row r="266" ht="15.75" customHeight="1" outlineLevel="3">
      <c r="A266" s="91" t="s">
        <v>188</v>
      </c>
      <c r="B266" s="91" t="s">
        <v>705</v>
      </c>
      <c r="C266" s="11"/>
      <c r="D266" s="11" t="s">
        <v>706</v>
      </c>
      <c r="E266" s="92">
        <v>2.0</v>
      </c>
      <c r="F266" s="94">
        <f t="array" ref="F266">INDEX(FECHAS,MATCH(INDEX(NLAB,MATCH($G$265,FECHAS,0))+1,NLAB,0))</f>
        <v>46419</v>
      </c>
      <c r="G266" s="94">
        <f t="array" ref="G266">IF(E266=0,F266,INDEX(FECHAS,MATCH(INDEX(NLAB,MATCH(F266,FECHAS,0))+E266-1,NLAB,0)))</f>
        <v>46420</v>
      </c>
      <c r="H266" s="22" t="s">
        <v>703</v>
      </c>
      <c r="I266" s="11" t="s">
        <v>346</v>
      </c>
      <c r="J266" s="91" t="str">
        <f>IF(K266&gt;=1,"Completado",IF(G266&lt;FECHA_ESTADO,"Atrasado",IF(K266&gt;0,"En progreso","No iniciado")))</f>
        <v>No iniciado</v>
      </c>
      <c r="K266" s="95">
        <v>0.0</v>
      </c>
      <c r="L266" s="91">
        <f t="array" ref="L266">MIN(INDEX(NLAB,MATCH($F$267,FECHAS,0))-1,INDEX(NLAB,MATCH(DATE(2027,2,5),FECHAS,0)))-INDEX(NLAB,MATCH(G266,FECHAS,0))</f>
        <v>3</v>
      </c>
      <c r="M266" s="91">
        <v>3.0</v>
      </c>
      <c r="N266" s="91" t="str">
        <f t="shared" si="82"/>
        <v>No</v>
      </c>
      <c r="AJ266" s="41"/>
    </row>
    <row r="267" ht="27.0" customHeight="1" outlineLevel="3">
      <c r="A267" s="91" t="s">
        <v>188</v>
      </c>
      <c r="B267" s="91" t="s">
        <v>707</v>
      </c>
      <c r="C267" s="11"/>
      <c r="D267" s="11" t="s">
        <v>708</v>
      </c>
      <c r="E267" s="92">
        <v>1.0</v>
      </c>
      <c r="F267" s="121">
        <v>46503.0</v>
      </c>
      <c r="G267" s="94">
        <f t="array" ref="G267">IF(E267=0,F267,INDEX(FECHAS,MATCH(INDEX(NLAB,MATCH(F267,FECHAS,0))+E267-1,NLAB,0)))</f>
        <v>46503</v>
      </c>
      <c r="H267" s="22" t="s">
        <v>705</v>
      </c>
      <c r="I267" s="11" t="s">
        <v>312</v>
      </c>
      <c r="J267" s="91" t="str">
        <f>IF(K267&gt;=1,"Completado",IF(G267&lt;FECHA_ESTADO,"Atrasado",IF(K267&gt;0,"En progreso","No iniciado")))</f>
        <v>No iniciado</v>
      </c>
      <c r="K267" s="95">
        <v>0.0</v>
      </c>
      <c r="L267" s="91">
        <f t="array" ref="L267">INDEX(NLAB,MATCH($F$268,FECHAS,0))-1-INDEX(NLAB,MATCH(G267,FECHAS,0))</f>
        <v>12</v>
      </c>
      <c r="M267" s="91">
        <v>25.0</v>
      </c>
      <c r="N267" s="91" t="str">
        <f t="shared" si="82"/>
        <v>No</v>
      </c>
      <c r="AV267" s="41"/>
    </row>
    <row r="268" ht="15.75" customHeight="1" outlineLevel="3">
      <c r="A268" s="91" t="s">
        <v>188</v>
      </c>
      <c r="B268" s="91" t="s">
        <v>709</v>
      </c>
      <c r="C268" s="11"/>
      <c r="D268" s="11" t="s">
        <v>710</v>
      </c>
      <c r="E268" s="92">
        <v>1.0</v>
      </c>
      <c r="F268" s="94">
        <f t="array" ref="F268">INDEX(FECHAS,MATCH(INDEX(NLAB,MATCH($F$272,FECHAS,0))-15,NLAB,0))</f>
        <v>46519</v>
      </c>
      <c r="G268" s="94">
        <f t="array" ref="G268">IF(E268=0,F268,INDEX(FECHAS,MATCH(INDEX(NLAB,MATCH(F268,FECHAS,0))+E268-1,NLAB,0)))</f>
        <v>46519</v>
      </c>
      <c r="H268" s="22" t="s">
        <v>707</v>
      </c>
      <c r="I268" s="11" t="s">
        <v>449</v>
      </c>
      <c r="J268" s="91" t="str">
        <f>IF(K268&gt;=1,"Completado",IF(G268&lt;FECHA_ESTADO,"Atrasado",IF(K268&gt;0,"En progreso","No iniciado")))</f>
        <v>No iniciado</v>
      </c>
      <c r="K268" s="95">
        <v>0.0</v>
      </c>
      <c r="L268" s="91">
        <f t="array" ref="L268">INDEX(NLAB,MATCH($F$262,FECHAS,0))-1-INDEX(NLAB,MATCH(G268,FECHAS,0))</f>
        <v>0</v>
      </c>
      <c r="M268" s="91">
        <v>13.0</v>
      </c>
      <c r="N268" s="91" t="str">
        <f t="shared" si="82"/>
        <v>No</v>
      </c>
      <c r="AX268" s="41"/>
    </row>
    <row r="269" ht="15.75" customHeight="1" outlineLevel="2">
      <c r="A269" s="116" t="s">
        <v>188</v>
      </c>
      <c r="B269" s="116" t="s">
        <v>711</v>
      </c>
      <c r="C269" s="117" t="s">
        <v>462</v>
      </c>
      <c r="D269" s="117"/>
      <c r="E269" s="116">
        <f t="array" ref="E269">INDEX(NLAB,MATCH(G269,FECHAS,0))-INDEX(NLAB,MATCH(F269,FECHAS,0))+1</f>
        <v>1</v>
      </c>
      <c r="F269" s="118">
        <f>MIN(F270)</f>
        <v>46536</v>
      </c>
      <c r="G269" s="118">
        <f>MAX(G270)</f>
        <v>46536</v>
      </c>
      <c r="H269" s="119"/>
      <c r="I269" s="117"/>
      <c r="J269" s="116" t="str">
        <f>IF(K269&gt;=1,"Completado",IF(AND(G269&lt;FECHA_ESTADO,K269&lt;1),"Atrasado",IF(K269&gt;0,"En progreso","No iniciado")))</f>
        <v>No iniciado</v>
      </c>
      <c r="K269" s="120">
        <f>IFERROR(SUMPRODUCT(--(C270=""),E270,K270)/SUMPRODUCT(--(C270=""),E270),0)</f>
        <v>0</v>
      </c>
      <c r="L269" s="116"/>
      <c r="M269" s="116"/>
      <c r="N269" s="116"/>
      <c r="AZ269" s="41"/>
    </row>
    <row r="270" ht="15.75" customHeight="1" outlineLevel="3">
      <c r="A270" s="91" t="s">
        <v>188</v>
      </c>
      <c r="B270" s="91" t="s">
        <v>712</v>
      </c>
      <c r="C270" s="11"/>
      <c r="D270" s="11" t="s">
        <v>620</v>
      </c>
      <c r="E270" s="92">
        <v>1.0</v>
      </c>
      <c r="F270" s="93">
        <v>46536.0</v>
      </c>
      <c r="G270" s="94">
        <f t="array" ref="G270">IF(E270=0,F270,INDEX(FECHAS,MATCH(INDEX(NLAB,MATCH(F270,FECHAS,0))+E270-1,NLAB,0)))</f>
        <v>46536</v>
      </c>
      <c r="H270" s="22" t="s">
        <v>391</v>
      </c>
      <c r="I270" s="11" t="s">
        <v>449</v>
      </c>
      <c r="J270" s="91" t="str">
        <f>IF(K270&gt;=1,"Completado",IF(G270&lt;FECHA_ESTADO,"Atrasado",IF(K270&gt;0,"En progreso","No iniciado")))</f>
        <v>No iniciado</v>
      </c>
      <c r="K270" s="95">
        <v>0.0</v>
      </c>
      <c r="L270" s="91">
        <f t="array" ref="L270">INDEX(NLAB,MATCH(FIN_PROY,FECHAS,0))-INDEX(NLAB,MATCH(G270,FECHAS,0))</f>
        <v>65</v>
      </c>
      <c r="M270" s="91">
        <v>0.0</v>
      </c>
      <c r="N270" s="91" t="str">
        <f>IF(M270&lt;=0,"Sí","No")</f>
        <v>Sí</v>
      </c>
      <c r="AZ270" s="41"/>
    </row>
    <row r="271" ht="15.75" customHeight="1" outlineLevel="2">
      <c r="A271" s="116" t="s">
        <v>188</v>
      </c>
      <c r="B271" s="116" t="s">
        <v>713</v>
      </c>
      <c r="C271" s="117" t="s">
        <v>668</v>
      </c>
      <c r="D271" s="117"/>
      <c r="E271" s="116">
        <f t="array" ref="E271">INDEX(NLAB,MATCH(G271,FECHAS,0))-INDEX(NLAB,MATCH(F271,FECHAS,0))+1</f>
        <v>3</v>
      </c>
      <c r="F271" s="118">
        <f>MIN(F272:F273)</f>
        <v>46536</v>
      </c>
      <c r="G271" s="118">
        <f>MAX(G272:G273)</f>
        <v>46539</v>
      </c>
      <c r="H271" s="119"/>
      <c r="I271" s="117"/>
      <c r="J271" s="116" t="str">
        <f>IF(K271&gt;=1,"Completado",IF(AND(G271&lt;FECHA_ESTADO,K271&lt;1),"Atrasado",IF(K271&gt;0,"En progreso","No iniciado")))</f>
        <v>No iniciado</v>
      </c>
      <c r="K271" s="120">
        <f>IFERROR(SUMPRODUCT(--(C272:C273=""),E272:E273,K272:K273)/SUMPRODUCT(--(C272:C273=""),E272:E273),0)</f>
        <v>0</v>
      </c>
      <c r="L271" s="116"/>
      <c r="M271" s="116"/>
      <c r="N271" s="116"/>
      <c r="AZ271" s="41"/>
      <c r="BA271" s="41"/>
    </row>
    <row r="272" ht="15.75" customHeight="1" outlineLevel="3">
      <c r="A272" s="91" t="s">
        <v>188</v>
      </c>
      <c r="B272" s="91" t="s">
        <v>208</v>
      </c>
      <c r="C272" s="11"/>
      <c r="D272" s="11" t="s">
        <v>714</v>
      </c>
      <c r="E272" s="92">
        <v>1.0</v>
      </c>
      <c r="F272" s="93">
        <v>46536.0</v>
      </c>
      <c r="G272" s="94">
        <f t="array" ref="G272">IF(E272=0,F272,INDEX(FECHAS,MATCH(INDEX(NLAB,MATCH(F272,FECHAS,0))+E272-1,NLAB,0)))</f>
        <v>46536</v>
      </c>
      <c r="H272" s="22" t="s">
        <v>715</v>
      </c>
      <c r="I272" s="11" t="s">
        <v>624</v>
      </c>
      <c r="J272" s="91" t="str">
        <f>IF(K272&gt;=1,"Completado",IF(G272&lt;FECHA_ESTADO,"Atrasado",IF(K272&gt;0,"En progreso","No iniciado")))</f>
        <v>No iniciado</v>
      </c>
      <c r="K272" s="95">
        <v>0.0</v>
      </c>
      <c r="L272" s="91">
        <f t="array" ref="L272">MIN(INDEX(NLAB,MATCH($F$101,FECHAS,0))-1,INDEX(NLAB,MATCH($F$273,FECHAS,0))-1,INDEX(NLAB,MATCH($F$275,FECHAS,0))-1,INDEX(NLAB,MATCH($F$277,FECHAS,0))-1,INDEX(NLAB,MATCH(DATE(2027,5,29),FECHAS,0)))-INDEX(NLAB,MATCH(G272,FECHAS,0))</f>
        <v>0</v>
      </c>
      <c r="M272" s="91">
        <v>0.0</v>
      </c>
      <c r="N272" s="91" t="str">
        <f t="shared" ref="N272:N273" si="83">IF(M272&lt;=0,"Sí","No")</f>
        <v>Sí</v>
      </c>
      <c r="AZ272" s="41"/>
    </row>
    <row r="273" ht="15.75" customHeight="1" outlineLevel="3">
      <c r="A273" s="91" t="s">
        <v>188</v>
      </c>
      <c r="B273" s="91" t="s">
        <v>716</v>
      </c>
      <c r="C273" s="11"/>
      <c r="D273" s="11" t="s">
        <v>717</v>
      </c>
      <c r="E273" s="92">
        <v>2.0</v>
      </c>
      <c r="F273" s="94">
        <f t="array" ref="F273">INDEX(FECHAS,MATCH(INDEX(NLAB,MATCH($G$272,FECHAS,0))+1,NLAB,0))</f>
        <v>46538</v>
      </c>
      <c r="G273" s="94">
        <f t="array" ref="G273">IF(E273=0,F273,INDEX(FECHAS,MATCH(INDEX(NLAB,MATCH(F273,FECHAS,0))+E273-1,NLAB,0)))</f>
        <v>46539</v>
      </c>
      <c r="H273" s="22" t="s">
        <v>208</v>
      </c>
      <c r="I273" s="11" t="s">
        <v>335</v>
      </c>
      <c r="J273" s="91" t="str">
        <f>IF(K273&gt;=1,"Completado",IF(G273&lt;FECHA_ESTADO,"Atrasado",IF(K273&gt;0,"En progreso","No iniciado")))</f>
        <v>No iniciado</v>
      </c>
      <c r="K273" s="95">
        <v>0.0</v>
      </c>
      <c r="L273" s="91">
        <f t="array" ref="L273">INDEX(NLAB,MATCH($F$331,FECHAS,0))-1-INDEX(NLAB,MATCH(G273,FECHAS,0))</f>
        <v>0</v>
      </c>
      <c r="M273" s="91">
        <v>1.0</v>
      </c>
      <c r="N273" s="91" t="str">
        <f t="shared" si="83"/>
        <v>No</v>
      </c>
      <c r="BA273" s="41"/>
    </row>
    <row r="274" outlineLevel="2">
      <c r="A274" s="116" t="s">
        <v>188</v>
      </c>
      <c r="B274" s="116" t="s">
        <v>718</v>
      </c>
      <c r="C274" s="117" t="s">
        <v>628</v>
      </c>
      <c r="D274" s="117"/>
      <c r="E274" s="116">
        <f t="array" ref="E274">INDEX(NLAB,MATCH(G274,FECHAS,0))-INDEX(NLAB,MATCH(F274,FECHAS,0))+1</f>
        <v>2</v>
      </c>
      <c r="F274" s="118">
        <f>MIN(F275)</f>
        <v>46538</v>
      </c>
      <c r="G274" s="118">
        <f>MAX(G275)</f>
        <v>46539</v>
      </c>
      <c r="H274" s="119"/>
      <c r="I274" s="117"/>
      <c r="J274" s="116" t="str">
        <f>IF(K274&gt;=1,"Completado",IF(AND(G274&lt;FECHA_ESTADO,K274&lt;1),"Atrasado",IF(K274&gt;0,"En progreso","No iniciado")))</f>
        <v>No iniciado</v>
      </c>
      <c r="K274" s="120">
        <f>IFERROR(SUMPRODUCT(--(C275=""),E275,K275)/SUMPRODUCT(--(C275=""),E275),0)</f>
        <v>0</v>
      </c>
      <c r="L274" s="116"/>
      <c r="M274" s="116"/>
      <c r="N274" s="116"/>
      <c r="BA274" s="41"/>
    </row>
    <row r="275" ht="27.0" customHeight="1" outlineLevel="3">
      <c r="A275" s="91" t="s">
        <v>188</v>
      </c>
      <c r="B275" s="91" t="s">
        <v>719</v>
      </c>
      <c r="C275" s="11"/>
      <c r="D275" s="11" t="s">
        <v>720</v>
      </c>
      <c r="E275" s="92">
        <v>2.0</v>
      </c>
      <c r="F275" s="94">
        <f t="array" ref="F275">INDEX(FECHAS,MATCH(INDEX(NLAB,MATCH($G$272,FECHAS,0))+1,NLAB,0))</f>
        <v>46538</v>
      </c>
      <c r="G275" s="94">
        <f t="array" ref="G275">IF(E275=0,F275,INDEX(FECHAS,MATCH(INDEX(NLAB,MATCH(F275,FECHAS,0))+E275-1,NLAB,0)))</f>
        <v>46539</v>
      </c>
      <c r="H275" s="22" t="s">
        <v>208</v>
      </c>
      <c r="I275" s="11" t="s">
        <v>721</v>
      </c>
      <c r="J275" s="91" t="str">
        <f>IF(K275&gt;=1,"Completado",IF(G275&lt;FECHA_ESTADO,"Atrasado",IF(K275&gt;0,"En progreso","No iniciado")))</f>
        <v>No iniciado</v>
      </c>
      <c r="K275" s="95">
        <v>0.0</v>
      </c>
      <c r="L275" s="91">
        <f t="array" ref="L275">INDEX(NLAB,MATCH($F$331,FECHAS,0))-1-INDEX(NLAB,MATCH(G275,FECHAS,0))</f>
        <v>0</v>
      </c>
      <c r="M275" s="91">
        <v>1.0</v>
      </c>
      <c r="N275" s="91" t="str">
        <f>IF(M275&lt;=0,"Sí","No")</f>
        <v>No</v>
      </c>
      <c r="BA275" s="41"/>
    </row>
    <row r="276" ht="15.75" customHeight="1" outlineLevel="2">
      <c r="A276" s="116" t="s">
        <v>188</v>
      </c>
      <c r="B276" s="116" t="s">
        <v>722</v>
      </c>
      <c r="C276" s="117" t="s">
        <v>496</v>
      </c>
      <c r="D276" s="117"/>
      <c r="E276" s="116">
        <f t="array" ref="E276">INDEX(NLAB,MATCH(G276,FECHAS,0))-INDEX(NLAB,MATCH(F276,FECHAS,0))+1</f>
        <v>1</v>
      </c>
      <c r="F276" s="118">
        <f>MIN(F277)</f>
        <v>46538</v>
      </c>
      <c r="G276" s="118">
        <f>MAX(G277)</f>
        <v>46538</v>
      </c>
      <c r="H276" s="119"/>
      <c r="I276" s="117"/>
      <c r="J276" s="116" t="str">
        <f>IF(K276&gt;=1,"Completado",IF(AND(G276&lt;FECHA_ESTADO,K276&lt;1),"Atrasado",IF(K276&gt;0,"En progreso","No iniciado")))</f>
        <v>No iniciado</v>
      </c>
      <c r="K276" s="120">
        <f>IFERROR(SUMPRODUCT(--(C277=""),E277,K277)/SUMPRODUCT(--(C277=""),E277),0)</f>
        <v>0</v>
      </c>
      <c r="L276" s="116"/>
      <c r="M276" s="116"/>
      <c r="N276" s="116"/>
      <c r="BA276" s="41"/>
    </row>
    <row r="277" ht="15.75" customHeight="1" outlineLevel="3">
      <c r="A277" s="91" t="s">
        <v>188</v>
      </c>
      <c r="B277" s="91" t="s">
        <v>723</v>
      </c>
      <c r="C277" s="11"/>
      <c r="D277" s="11" t="s">
        <v>634</v>
      </c>
      <c r="E277" s="92">
        <v>1.0</v>
      </c>
      <c r="F277" s="94">
        <f t="array" ref="F277">INDEX(FECHAS,MATCH(INDEX(NLAB,MATCH($G$272,FECHAS,0))+1,NLAB,0))</f>
        <v>46538</v>
      </c>
      <c r="G277" s="94">
        <f t="array" ref="G277">IF(E277=0,F277,INDEX(FECHAS,MATCH(INDEX(NLAB,MATCH(F277,FECHAS,0))+E277-1,NLAB,0)))</f>
        <v>46538</v>
      </c>
      <c r="H277" s="22" t="s">
        <v>208</v>
      </c>
      <c r="I277" s="11" t="s">
        <v>335</v>
      </c>
      <c r="J277" s="91" t="str">
        <f>IF(K277&gt;=1,"Completado",IF(G277&lt;FECHA_ESTADO,"Atrasado",IF(K277&gt;0,"En progreso","No iniciado")))</f>
        <v>No iniciado</v>
      </c>
      <c r="K277" s="95">
        <v>0.0</v>
      </c>
      <c r="L277" s="91">
        <f t="array" ref="L277">INDEX(NLAB,MATCH($F$331,FECHAS,0))-1-INDEX(NLAB,MATCH(G277,FECHAS,0))</f>
        <v>1</v>
      </c>
      <c r="M277" s="91">
        <v>2.0</v>
      </c>
      <c r="N277" s="91" t="str">
        <f>IF(M277&lt;=0,"Sí","No")</f>
        <v>No</v>
      </c>
      <c r="BA277" s="41"/>
    </row>
    <row r="278" ht="27.0" customHeight="1" outlineLevel="1">
      <c r="A278" s="111" t="s">
        <v>188</v>
      </c>
      <c r="B278" s="111" t="s">
        <v>724</v>
      </c>
      <c r="C278" s="112" t="s">
        <v>725</v>
      </c>
      <c r="D278" s="112"/>
      <c r="E278" s="111">
        <f t="array" ref="E278">INDEX(NLAB,MATCH(G278,FECHAS,0))-INDEX(NLAB,MATCH(F278,FECHAS,0))+1</f>
        <v>174</v>
      </c>
      <c r="F278" s="113">
        <f>MIN(F279:F309)</f>
        <v>46391</v>
      </c>
      <c r="G278" s="113">
        <f>MAX(G279:G309)</f>
        <v>46602</v>
      </c>
      <c r="H278" s="114"/>
      <c r="I278" s="112"/>
      <c r="J278" s="111" t="str">
        <f>IF(K278&gt;=1,"Completado",IF(AND(G278&lt;FECHA_ESTADO,K278&lt;1),"Atrasado",IF(K278&gt;0,"En progreso","No iniciado")))</f>
        <v>No iniciado</v>
      </c>
      <c r="K278" s="115">
        <f>IFERROR(SUMPRODUCT(--(C279:C309=""),E279:E309,K279:K309)/SUMPRODUCT(--(C279:C309=""),E279:E309),0)</f>
        <v>0</v>
      </c>
      <c r="L278" s="111"/>
      <c r="M278" s="111"/>
      <c r="N278" s="11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  <c r="BC278" s="41"/>
      <c r="BD278" s="41"/>
      <c r="BE278" s="41"/>
      <c r="BF278" s="41"/>
      <c r="BG278" s="41"/>
      <c r="BH278" s="41"/>
      <c r="BI278" s="41"/>
      <c r="BJ278" s="41"/>
    </row>
    <row r="279" ht="15.75" hidden="1" customHeight="1" outlineLevel="2">
      <c r="A279" s="116" t="s">
        <v>188</v>
      </c>
      <c r="B279" s="116" t="s">
        <v>726</v>
      </c>
      <c r="C279" s="117" t="s">
        <v>428</v>
      </c>
      <c r="D279" s="117"/>
      <c r="E279" s="116">
        <f t="array" ref="E279">INDEX(NLAB,MATCH(G279,FECHAS,0))-INDEX(NLAB,MATCH(F279,FECHAS,0))+1</f>
        <v>21</v>
      </c>
      <c r="F279" s="118">
        <f>MIN(F280:F285)</f>
        <v>46568</v>
      </c>
      <c r="G279" s="118">
        <f>MAX(G280:G285)</f>
        <v>46592</v>
      </c>
      <c r="H279" s="119"/>
      <c r="I279" s="117"/>
      <c r="J279" s="116" t="str">
        <f>IF(K279&gt;=1,"Completado",IF(AND(G279&lt;FECHA_ESTADO,K279&lt;1),"Atrasado",IF(K279&gt;0,"En progreso","No iniciado")))</f>
        <v>No iniciado</v>
      </c>
      <c r="K279" s="120">
        <f>IFERROR(SUMPRODUCT(--(C280:C285=""),E280:E285,K280:K285)/SUMPRODUCT(--(C280:C285=""),E280:E285),0)</f>
        <v>0</v>
      </c>
      <c r="L279" s="116"/>
      <c r="M279" s="116"/>
      <c r="N279" s="116"/>
      <c r="BE279" s="41"/>
      <c r="BF279" s="41"/>
      <c r="BG279" s="41"/>
      <c r="BH279" s="41"/>
    </row>
    <row r="280" ht="15.75" hidden="1" customHeight="1" outlineLevel="3">
      <c r="A280" s="116" t="s">
        <v>188</v>
      </c>
      <c r="B280" s="116" t="s">
        <v>727</v>
      </c>
      <c r="C280" s="117" t="s">
        <v>430</v>
      </c>
      <c r="D280" s="117"/>
      <c r="E280" s="116">
        <f t="array" ref="E280">INDEX(NLAB,MATCH(G280,FECHAS,0))-INDEX(NLAB,MATCH(F280,FECHAS,0))+1</f>
        <v>6</v>
      </c>
      <c r="F280" s="118">
        <f>MIN(F281)</f>
        <v>46568</v>
      </c>
      <c r="G280" s="118">
        <f>MAX(G281)</f>
        <v>46574</v>
      </c>
      <c r="H280" s="119"/>
      <c r="I280" s="117"/>
      <c r="J280" s="116" t="str">
        <f>IF(K280&gt;=1,"Completado",IF(AND(G280&lt;FECHA_ESTADO,K280&lt;1),"Atrasado",IF(K280&gt;0,"En progreso","No iniciado")))</f>
        <v>No iniciado</v>
      </c>
      <c r="K280" s="120">
        <f>IFERROR(SUMPRODUCT(--(C281=""),E281,K281)/SUMPRODUCT(--(C281=""),E281),0)</f>
        <v>0</v>
      </c>
      <c r="L280" s="116"/>
      <c r="M280" s="116"/>
      <c r="N280" s="116"/>
      <c r="BE280" s="41"/>
      <c r="BF280" s="41"/>
    </row>
    <row r="281" ht="15.75" hidden="1" customHeight="1" outlineLevel="4">
      <c r="A281" s="91" t="s">
        <v>188</v>
      </c>
      <c r="B281" s="91" t="s">
        <v>728</v>
      </c>
      <c r="C281" s="11"/>
      <c r="D281" s="11" t="s">
        <v>432</v>
      </c>
      <c r="E281" s="92">
        <v>6.0</v>
      </c>
      <c r="F281" s="94">
        <f t="array" ref="F281">INDEX(FECHAS,MATCH(INDEX(NLAB,MATCH($F$304,FECHAS,0))-24,NLAB,0))</f>
        <v>46568</v>
      </c>
      <c r="G281" s="94">
        <f t="array" ref="G281">IF(E281=0,F281,INDEX(FECHAS,MATCH(INDEX(NLAB,MATCH(F281,FECHAS,0))+E281-1,NLAB,0)))</f>
        <v>46574</v>
      </c>
      <c r="H281" s="22" t="s">
        <v>336</v>
      </c>
      <c r="I281" s="11" t="s">
        <v>433</v>
      </c>
      <c r="J281" s="91" t="str">
        <f>IF(K281&gt;=1,"Completado",IF(G281&lt;FECHA_ESTADO,"Atrasado",IF(K281&gt;0,"En progreso","No iniciado")))</f>
        <v>No iniciado</v>
      </c>
      <c r="K281" s="95">
        <v>0.0</v>
      </c>
      <c r="L281" s="91">
        <f t="array" ref="L281">INDEX(NLAB,MATCH($F$283,FECHAS,0))-1-INDEX(NLAB,MATCH(G281,FECHAS,0))</f>
        <v>0</v>
      </c>
      <c r="M281" s="91">
        <v>15.0</v>
      </c>
      <c r="N281" s="91" t="str">
        <f>IF(M281&lt;=0,"Sí","No")</f>
        <v>No</v>
      </c>
      <c r="BE281" s="41"/>
      <c r="BF281" s="41"/>
    </row>
    <row r="282" ht="15.75" hidden="1" customHeight="1" outlineLevel="3">
      <c r="A282" s="116" t="s">
        <v>188</v>
      </c>
      <c r="B282" s="116" t="s">
        <v>729</v>
      </c>
      <c r="C282" s="117" t="s">
        <v>435</v>
      </c>
      <c r="D282" s="117"/>
      <c r="E282" s="116">
        <f t="array" ref="E282">INDEX(NLAB,MATCH(G282,FECHAS,0))-INDEX(NLAB,MATCH(F282,FECHAS,0))+1</f>
        <v>2</v>
      </c>
      <c r="F282" s="118">
        <f>MIN(F283)</f>
        <v>46575</v>
      </c>
      <c r="G282" s="118">
        <f>MAX(G283)</f>
        <v>46576</v>
      </c>
      <c r="H282" s="119"/>
      <c r="I282" s="117"/>
      <c r="J282" s="116" t="str">
        <f>IF(K282&gt;=1,"Completado",IF(AND(G282&lt;FECHA_ESTADO,K282&lt;1),"Atrasado",IF(K282&gt;0,"En progreso","No iniciado")))</f>
        <v>No iniciado</v>
      </c>
      <c r="K282" s="120">
        <f>IFERROR(SUMPRODUCT(--(C283=""),E283,K283)/SUMPRODUCT(--(C283=""),E283),0)</f>
        <v>0</v>
      </c>
      <c r="L282" s="116"/>
      <c r="M282" s="116"/>
      <c r="N282" s="116"/>
      <c r="BF282" s="41"/>
    </row>
    <row r="283" ht="27.0" hidden="1" customHeight="1" outlineLevel="4">
      <c r="A283" s="91" t="s">
        <v>188</v>
      </c>
      <c r="B283" s="91" t="s">
        <v>730</v>
      </c>
      <c r="C283" s="11"/>
      <c r="D283" s="11" t="s">
        <v>437</v>
      </c>
      <c r="E283" s="92">
        <v>2.0</v>
      </c>
      <c r="F283" s="94">
        <f t="array" ref="F283">INDEX(FECHAS,MATCH(INDEX(NLAB,MATCH($G$281,FECHAS,0))+1,NLAB,0))</f>
        <v>46575</v>
      </c>
      <c r="G283" s="94">
        <f t="array" ref="G283">IF(E283=0,F283,INDEX(FECHAS,MATCH(INDEX(NLAB,MATCH(F283,FECHAS,0))+E283-1,NLAB,0)))</f>
        <v>46576</v>
      </c>
      <c r="H283" s="22" t="s">
        <v>728</v>
      </c>
      <c r="I283" s="11" t="s">
        <v>438</v>
      </c>
      <c r="J283" s="91" t="str">
        <f>IF(K283&gt;=1,"Completado",IF(G283&lt;FECHA_ESTADO,"Atrasado",IF(K283&gt;0,"En progreso","No iniciado")))</f>
        <v>No iniciado</v>
      </c>
      <c r="K283" s="95">
        <v>0.0</v>
      </c>
      <c r="L283" s="91">
        <f t="array" ref="L283">INDEX(NLAB,MATCH($F$285,FECHAS,0))-1-INDEX(NLAB,MATCH(G283,FECHAS,0))</f>
        <v>12</v>
      </c>
      <c r="M283" s="91">
        <v>15.0</v>
      </c>
      <c r="N283" s="91" t="str">
        <f>IF(M283&lt;=0,"Sí","No")</f>
        <v>No</v>
      </c>
      <c r="BF283" s="41"/>
    </row>
    <row r="284" ht="15.75" hidden="1" customHeight="1" outlineLevel="3">
      <c r="A284" s="116" t="s">
        <v>188</v>
      </c>
      <c r="B284" s="116" t="s">
        <v>731</v>
      </c>
      <c r="C284" s="117" t="s">
        <v>440</v>
      </c>
      <c r="D284" s="117"/>
      <c r="E284" s="116">
        <f t="array" ref="E284">INDEX(NLAB,MATCH(G284,FECHAS,0))-INDEX(NLAB,MATCH(F284,FECHAS,0))+1</f>
        <v>1</v>
      </c>
      <c r="F284" s="118">
        <f>MIN(F285)</f>
        <v>46592</v>
      </c>
      <c r="G284" s="118">
        <f>MAX(G285)</f>
        <v>46592</v>
      </c>
      <c r="H284" s="119"/>
      <c r="I284" s="117"/>
      <c r="J284" s="116" t="str">
        <f>IF(K284&gt;=1,"Completado",IF(AND(G284&lt;FECHA_ESTADO,K284&lt;1),"Atrasado",IF(K284&gt;0,"En progreso","No iniciado")))</f>
        <v>No iniciado</v>
      </c>
      <c r="K284" s="120">
        <f>IFERROR(SUMPRODUCT(--(C285=""),E285,K285)/SUMPRODUCT(--(C285=""),E285),0)</f>
        <v>0</v>
      </c>
      <c r="L284" s="116"/>
      <c r="M284" s="116"/>
      <c r="N284" s="116"/>
      <c r="BH284" s="41"/>
    </row>
    <row r="285" ht="15.75" hidden="1" customHeight="1" outlineLevel="4">
      <c r="A285" s="91" t="s">
        <v>188</v>
      </c>
      <c r="B285" s="91" t="s">
        <v>732</v>
      </c>
      <c r="C285" s="11"/>
      <c r="D285" s="11" t="s">
        <v>442</v>
      </c>
      <c r="E285" s="92">
        <v>1.0</v>
      </c>
      <c r="F285" s="94">
        <f t="array" ref="F285">INDEX(FECHAS,MATCH(INDEX(NLAB,MATCH($F$304,FECHAS,0))-4,NLAB,0))</f>
        <v>46592</v>
      </c>
      <c r="G285" s="94">
        <f t="array" ref="G285">IF(E285=0,F285,INDEX(FECHAS,MATCH(INDEX(NLAB,MATCH(F285,FECHAS,0))+E285-1,NLAB,0)))</f>
        <v>46592</v>
      </c>
      <c r="H285" s="22" t="s">
        <v>730</v>
      </c>
      <c r="I285" s="11" t="s">
        <v>443</v>
      </c>
      <c r="J285" s="91" t="str">
        <f>IF(K285&gt;=1,"Completado",IF(G285&lt;FECHA_ESTADO,"Atrasado",IF(K285&gt;0,"En progreso","No iniciado")))</f>
        <v>No iniciado</v>
      </c>
      <c r="K285" s="95">
        <v>0.0</v>
      </c>
      <c r="L285" s="91">
        <f t="array" ref="L285">INDEX(NLAB,MATCH($F$304,FECHAS,0))-1-INDEX(NLAB,MATCH(G285,FECHAS,0))</f>
        <v>3</v>
      </c>
      <c r="M285" s="91">
        <v>3.0</v>
      </c>
      <c r="N285" s="91" t="str">
        <f>IF(M285&lt;=0,"Sí","No")</f>
        <v>No</v>
      </c>
      <c r="BH285" s="41"/>
    </row>
    <row r="286" ht="15.75" hidden="1" customHeight="1" outlineLevel="2">
      <c r="A286" s="116" t="s">
        <v>188</v>
      </c>
      <c r="B286" s="116" t="s">
        <v>733</v>
      </c>
      <c r="C286" s="117" t="s">
        <v>445</v>
      </c>
      <c r="D286" s="117"/>
      <c r="E286" s="116">
        <f t="array" ref="E286">INDEX(NLAB,MATCH(G286,FECHAS,0))-INDEX(NLAB,MATCH(F286,FECHAS,0))+1</f>
        <v>159</v>
      </c>
      <c r="F286" s="118">
        <f>MIN(F287:F291)</f>
        <v>46391</v>
      </c>
      <c r="G286" s="118">
        <f>MAX(G287:G291)</f>
        <v>46581</v>
      </c>
      <c r="H286" s="119"/>
      <c r="I286" s="117"/>
      <c r="J286" s="116" t="str">
        <f>IF(K286&gt;=1,"Completado",IF(AND(G286&lt;FECHA_ESTADO,K286&lt;1),"Atrasado",IF(K286&gt;0,"En progreso","No iniciado")))</f>
        <v>No iniciado</v>
      </c>
      <c r="K286" s="120">
        <f>IFERROR(SUMPRODUCT(--(C287:C291=""),E287:E291,K287:K291)/SUMPRODUCT(--(C287:C291=""),E287:E291),0)</f>
        <v>0</v>
      </c>
      <c r="L286" s="116"/>
      <c r="M286" s="116"/>
      <c r="N286" s="116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  <c r="BC286" s="41"/>
      <c r="BD286" s="41"/>
      <c r="BE286" s="41"/>
      <c r="BF286" s="41"/>
      <c r="BG286" s="41"/>
    </row>
    <row r="287" ht="27.0" hidden="1" customHeight="1" outlineLevel="3">
      <c r="A287" s="91" t="s">
        <v>188</v>
      </c>
      <c r="B287" s="91" t="s">
        <v>734</v>
      </c>
      <c r="C287" s="11"/>
      <c r="D287" s="11" t="s">
        <v>735</v>
      </c>
      <c r="E287" s="92">
        <v>11.0</v>
      </c>
      <c r="F287" s="121">
        <v>46391.0</v>
      </c>
      <c r="G287" s="94">
        <f t="array" ref="G287">IF(E287=0,F287,INDEX(FECHAS,MATCH(INDEX(NLAB,MATCH(F287,FECHAS,0))+E287-1,NLAB,0)))</f>
        <v>46402</v>
      </c>
      <c r="H287" s="22" t="s">
        <v>736</v>
      </c>
      <c r="I287" s="11" t="s">
        <v>737</v>
      </c>
      <c r="J287" s="91" t="str">
        <f>IF(K287&gt;=1,"Completado",IF(G287&lt;FECHA_ESTADO,"Atrasado",IF(K287&gt;0,"En progreso","No iniciado")))</f>
        <v>No iniciado</v>
      </c>
      <c r="K287" s="95">
        <v>0.0</v>
      </c>
      <c r="L287" s="91">
        <f t="array" ref="L287">MIN(INDEX(NLAB,MATCH($F$293,FECHAS,0))-1,INDEX(NLAB,MATCH(DATE(2027,1,15),FECHAS,0)))-INDEX(NLAB,MATCH(G287,FECHAS,0))</f>
        <v>0</v>
      </c>
      <c r="M287" s="91">
        <v>0.0</v>
      </c>
      <c r="N287" s="91" t="str">
        <f t="shared" ref="N287:N291" si="84">IF(M287&lt;=0,"Sí","No")</f>
        <v>Sí</v>
      </c>
      <c r="AF287" s="41"/>
      <c r="AG287" s="41"/>
    </row>
    <row r="288" ht="27.0" hidden="1" customHeight="1" outlineLevel="3">
      <c r="A288" s="91" t="s">
        <v>188</v>
      </c>
      <c r="B288" s="91" t="s">
        <v>738</v>
      </c>
      <c r="C288" s="11"/>
      <c r="D288" s="11" t="s">
        <v>739</v>
      </c>
      <c r="E288" s="92">
        <v>11.0</v>
      </c>
      <c r="F288" s="121">
        <v>46391.0</v>
      </c>
      <c r="G288" s="94">
        <f t="array" ref="G288">IF(E288=0,F288,INDEX(FECHAS,MATCH(INDEX(NLAB,MATCH(F288,FECHAS,0))+E288-1,NLAB,0)))</f>
        <v>46402</v>
      </c>
      <c r="H288" s="22" t="s">
        <v>343</v>
      </c>
      <c r="I288" s="11" t="s">
        <v>449</v>
      </c>
      <c r="J288" s="91" t="str">
        <f>IF(K288&gt;=1,"Completado",IF(G288&lt;FECHA_ESTADO,"Atrasado",IF(K288&gt;0,"En progreso","No iniciado")))</f>
        <v>No iniciado</v>
      </c>
      <c r="K288" s="95">
        <v>0.0</v>
      </c>
      <c r="L288" s="91">
        <f t="array" ref="L288">INDEX(NLAB,MATCH(DATE(2027,1,15),FECHAS,0))-INDEX(NLAB,MATCH(G288,FECHAS,0))</f>
        <v>0</v>
      </c>
      <c r="M288" s="91">
        <v>0.0</v>
      </c>
      <c r="N288" s="91" t="str">
        <f t="shared" si="84"/>
        <v>Sí</v>
      </c>
      <c r="AF288" s="41"/>
      <c r="AG288" s="41"/>
    </row>
    <row r="289" ht="27.0" hidden="1" customHeight="1" outlineLevel="3">
      <c r="A289" s="91" t="s">
        <v>188</v>
      </c>
      <c r="B289" s="91" t="s">
        <v>740</v>
      </c>
      <c r="C289" s="11"/>
      <c r="D289" s="11" t="s">
        <v>741</v>
      </c>
      <c r="E289" s="92">
        <v>11.0</v>
      </c>
      <c r="F289" s="121">
        <v>46412.0</v>
      </c>
      <c r="G289" s="94">
        <f t="array" ref="G289">IF(E289=0,F289,INDEX(FECHAS,MATCH(INDEX(NLAB,MATCH(F289,FECHAS,0))+E289-1,NLAB,0)))</f>
        <v>46423</v>
      </c>
      <c r="H289" s="22" t="s">
        <v>305</v>
      </c>
      <c r="I289" s="11" t="s">
        <v>266</v>
      </c>
      <c r="J289" s="91" t="str">
        <f>IF(K289&gt;=1,"Completado",IF(G289&lt;FECHA_ESTADO,"Atrasado",IF(K289&gt;0,"En progreso","No iniciado")))</f>
        <v>No iniciado</v>
      </c>
      <c r="K289" s="95">
        <v>0.0</v>
      </c>
      <c r="L289" s="91">
        <f t="array" ref="L289">MIN(INDEX(NLAB,MATCH($F$304,FECHAS,0))-1,INDEX(NLAB,MATCH(DATE(2027,2,5),FECHAS,0)))-INDEX(NLAB,MATCH(G289,FECHAS,0))</f>
        <v>0</v>
      </c>
      <c r="M289" s="91">
        <v>0.0</v>
      </c>
      <c r="N289" s="91" t="str">
        <f t="shared" si="84"/>
        <v>Sí</v>
      </c>
      <c r="AI289" s="41"/>
      <c r="AJ289" s="41"/>
    </row>
    <row r="290" ht="27.0" hidden="1" customHeight="1" outlineLevel="3">
      <c r="A290" s="91" t="s">
        <v>188</v>
      </c>
      <c r="B290" s="91" t="s">
        <v>742</v>
      </c>
      <c r="C290" s="11"/>
      <c r="D290" s="11" t="s">
        <v>743</v>
      </c>
      <c r="E290" s="92">
        <v>5.0</v>
      </c>
      <c r="F290" s="94">
        <f t="array" ref="F290">INDEX(FECHAS,MATCH(INDEX(NLAB,MATCH($F$304,FECHAS,0))-22,NLAB,0))</f>
        <v>46570</v>
      </c>
      <c r="G290" s="94">
        <f t="array" ref="G290">IF(E290=0,F290,INDEX(FECHAS,MATCH(INDEX(NLAB,MATCH(F290,FECHAS,0))+E290-1,NLAB,0)))</f>
        <v>46575</v>
      </c>
      <c r="H290" s="22" t="s">
        <v>179</v>
      </c>
      <c r="I290" s="11" t="s">
        <v>300</v>
      </c>
      <c r="J290" s="91" t="str">
        <f>IF(K290&gt;=1,"Completado",IF(G290&lt;FECHA_ESTADO,"Atrasado",IF(K290&gt;0,"En progreso","No iniciado")))</f>
        <v>No iniciado</v>
      </c>
      <c r="K290" s="95">
        <v>0.0</v>
      </c>
      <c r="L290" s="91">
        <f t="array" ref="L290">INDEX(NLAB,MATCH($F$304,FECHAS,0))-1-INDEX(NLAB,MATCH(G290,FECHAS,0))</f>
        <v>17</v>
      </c>
      <c r="M290" s="91">
        <v>17.0</v>
      </c>
      <c r="N290" s="91" t="str">
        <f t="shared" si="84"/>
        <v>No</v>
      </c>
      <c r="BE290" s="41"/>
      <c r="BF290" s="41"/>
    </row>
    <row r="291" ht="15.75" hidden="1" customHeight="1" outlineLevel="3">
      <c r="A291" s="91" t="s">
        <v>188</v>
      </c>
      <c r="B291" s="91" t="s">
        <v>744</v>
      </c>
      <c r="C291" s="11"/>
      <c r="D291" s="11" t="s">
        <v>745</v>
      </c>
      <c r="E291" s="92">
        <v>2.0</v>
      </c>
      <c r="F291" s="94">
        <f t="array" ref="F291">INDEX(FECHAS,MATCH(INDEX(NLAB,MATCH($F$304,FECHAS,0))-14,NLAB,0))</f>
        <v>46580</v>
      </c>
      <c r="G291" s="94">
        <f t="array" ref="G291">IF(E291=0,F291,INDEX(FECHAS,MATCH(INDEX(NLAB,MATCH(F291,FECHAS,0))+E291-1,NLAB,0)))</f>
        <v>46581</v>
      </c>
      <c r="H291" s="22" t="s">
        <v>746</v>
      </c>
      <c r="I291" s="11" t="s">
        <v>449</v>
      </c>
      <c r="J291" s="91" t="str">
        <f>IF(K291&gt;=1,"Completado",IF(G291&lt;FECHA_ESTADO,"Atrasado",IF(K291&gt;0,"En progreso","No iniciado")))</f>
        <v>No iniciado</v>
      </c>
      <c r="K291" s="95">
        <v>0.0</v>
      </c>
      <c r="L291" s="91">
        <f t="array" ref="L291">INDEX(NLAB,MATCH($F$304,FECHAS,0))-1-INDEX(NLAB,MATCH(G291,FECHAS,0))</f>
        <v>12</v>
      </c>
      <c r="M291" s="91">
        <v>12.0</v>
      </c>
      <c r="N291" s="91" t="str">
        <f t="shared" si="84"/>
        <v>No</v>
      </c>
      <c r="BG291" s="41"/>
    </row>
    <row r="292" hidden="1" outlineLevel="2">
      <c r="A292" s="116" t="s">
        <v>188</v>
      </c>
      <c r="B292" s="116" t="s">
        <v>747</v>
      </c>
      <c r="C292" s="117" t="s">
        <v>748</v>
      </c>
      <c r="D292" s="117"/>
      <c r="E292" s="116">
        <f t="array" ref="E292">INDEX(NLAB,MATCH(G292,FECHAS,0))-INDEX(NLAB,MATCH(F292,FECHAS,0))+1</f>
        <v>12</v>
      </c>
      <c r="F292" s="118">
        <f>MIN(F293:F294)</f>
        <v>46577</v>
      </c>
      <c r="G292" s="118">
        <f>MAX(G293:G294)</f>
        <v>46590</v>
      </c>
      <c r="H292" s="119"/>
      <c r="I292" s="117"/>
      <c r="J292" s="116" t="str">
        <f>IF(K292&gt;=1,"Completado",IF(AND(G292&lt;FECHA_ESTADO,K292&lt;1),"Atrasado",IF(K292&gt;0,"En progreso","No iniciado")))</f>
        <v>No iniciado</v>
      </c>
      <c r="K292" s="120">
        <f>IFERROR(SUMPRODUCT(--(C293:C294=""),E293:E294,K293:K294)/SUMPRODUCT(--(C293:C294=""),E293:E294),0)</f>
        <v>0</v>
      </c>
      <c r="L292" s="116"/>
      <c r="M292" s="116"/>
      <c r="N292" s="116"/>
      <c r="BF292" s="41"/>
      <c r="BG292" s="41"/>
      <c r="BH292" s="41"/>
    </row>
    <row r="293" ht="27.0" hidden="1" customHeight="1" outlineLevel="3">
      <c r="A293" s="91" t="s">
        <v>188</v>
      </c>
      <c r="B293" s="91" t="s">
        <v>749</v>
      </c>
      <c r="C293" s="11"/>
      <c r="D293" s="11" t="s">
        <v>750</v>
      </c>
      <c r="E293" s="92">
        <v>8.0</v>
      </c>
      <c r="F293" s="94">
        <f t="array" ref="F293">INDEX(FECHAS,MATCH(INDEX(NLAB,MATCH($F$304,FECHAS,0))-16,NLAB,0))</f>
        <v>46577</v>
      </c>
      <c r="G293" s="94">
        <f t="array" ref="G293">IF(E293=0,F293,INDEX(FECHAS,MATCH(INDEX(NLAB,MATCH(F293,FECHAS,0))+E293-1,NLAB,0)))</f>
        <v>46585</v>
      </c>
      <c r="H293" s="22" t="s">
        <v>734</v>
      </c>
      <c r="I293" s="11" t="s">
        <v>404</v>
      </c>
      <c r="J293" s="91" t="str">
        <f>IF(K293&gt;=1,"Completado",IF(G293&lt;FECHA_ESTADO,"Atrasado",IF(K293&gt;0,"En progreso","No iniciado")))</f>
        <v>No iniciado</v>
      </c>
      <c r="K293" s="95">
        <v>0.0</v>
      </c>
      <c r="L293" s="91">
        <f t="array" ref="L293">INDEX(NLAB,MATCH($F$294,FECHAS,0))-1-INDEX(NLAB,MATCH(G293,FECHAS,0))</f>
        <v>3</v>
      </c>
      <c r="M293" s="91">
        <v>7.0</v>
      </c>
      <c r="N293" s="91" t="str">
        <f t="shared" ref="N293:N294" si="85">IF(M293&lt;=0,"Sí","No")</f>
        <v>No</v>
      </c>
      <c r="BF293" s="41"/>
      <c r="BG293" s="41"/>
    </row>
    <row r="294" ht="15.75" hidden="1" customHeight="1" outlineLevel="3">
      <c r="A294" s="91" t="s">
        <v>188</v>
      </c>
      <c r="B294" s="91" t="s">
        <v>751</v>
      </c>
      <c r="C294" s="11"/>
      <c r="D294" s="11" t="s">
        <v>752</v>
      </c>
      <c r="E294" s="92">
        <v>1.0</v>
      </c>
      <c r="F294" s="94">
        <f t="array" ref="F294">INDEX(FECHAS,MATCH(INDEX(NLAB,MATCH($F$304,FECHAS,0))-5,NLAB,0))</f>
        <v>46590</v>
      </c>
      <c r="G294" s="94">
        <f t="array" ref="G294">IF(E294=0,F294,INDEX(FECHAS,MATCH(INDEX(NLAB,MATCH(F294,FECHAS,0))+E294-1,NLAB,0)))</f>
        <v>46590</v>
      </c>
      <c r="H294" s="22" t="s">
        <v>749</v>
      </c>
      <c r="I294" s="11" t="s">
        <v>753</v>
      </c>
      <c r="J294" s="91" t="str">
        <f>IF(K294&gt;=1,"Completado",IF(G294&lt;FECHA_ESTADO,"Atrasado",IF(K294&gt;0,"En progreso","No iniciado")))</f>
        <v>No iniciado</v>
      </c>
      <c r="K294" s="95">
        <v>0.0</v>
      </c>
      <c r="L294" s="91">
        <f t="array" ref="L294">INDEX(NLAB,MATCH($F$304,FECHAS,0))-1-INDEX(NLAB,MATCH(G294,FECHAS,0))</f>
        <v>4</v>
      </c>
      <c r="M294" s="91">
        <v>4.0</v>
      </c>
      <c r="N294" s="91" t="str">
        <f t="shared" si="85"/>
        <v>No</v>
      </c>
      <c r="BH294" s="41"/>
    </row>
    <row r="295" ht="15.75" hidden="1" customHeight="1" outlineLevel="2">
      <c r="A295" s="116" t="s">
        <v>188</v>
      </c>
      <c r="B295" s="116" t="s">
        <v>754</v>
      </c>
      <c r="C295" s="117" t="s">
        <v>607</v>
      </c>
      <c r="D295" s="117"/>
      <c r="E295" s="116">
        <f t="array" ref="E295">INDEX(NLAB,MATCH(G295,FECHAS,0))-INDEX(NLAB,MATCH(F295,FECHAS,0))+1</f>
        <v>137</v>
      </c>
      <c r="F295" s="118">
        <f>MIN(F296:F300)</f>
        <v>46412</v>
      </c>
      <c r="G295" s="118">
        <f>MAX(G296:G300)</f>
        <v>46576</v>
      </c>
      <c r="H295" s="119"/>
      <c r="I295" s="117"/>
      <c r="J295" s="116" t="str">
        <f>IF(K295&gt;=1,"Completado",IF(AND(G295&lt;FECHA_ESTADO,K295&lt;1),"Atrasado",IF(K295&gt;0,"En progreso","No iniciado")))</f>
        <v>No iniciado</v>
      </c>
      <c r="K295" s="120">
        <f>IFERROR(SUMPRODUCT(--(C296:C300=""),E296:E300,K296:K300)/SUMPRODUCT(--(C296:C300=""),E296:E300),0)</f>
        <v>0</v>
      </c>
      <c r="L295" s="116"/>
      <c r="M295" s="116"/>
      <c r="N295" s="116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  <c r="BC295" s="41"/>
      <c r="BD295" s="41"/>
      <c r="BE295" s="41"/>
      <c r="BF295" s="41"/>
    </row>
    <row r="296" ht="27.0" hidden="1" customHeight="1" outlineLevel="3">
      <c r="A296" s="91" t="s">
        <v>188</v>
      </c>
      <c r="B296" s="91" t="s">
        <v>755</v>
      </c>
      <c r="C296" s="11"/>
      <c r="D296" s="11" t="s">
        <v>756</v>
      </c>
      <c r="E296" s="92">
        <v>4.0</v>
      </c>
      <c r="F296" s="121">
        <v>46412.0</v>
      </c>
      <c r="G296" s="94">
        <f t="array" ref="G296">IF(E296=0,F296,INDEX(FECHAS,MATCH(INDEX(NLAB,MATCH(F296,FECHAS,0))+E296-1,NLAB,0)))</f>
        <v>46415</v>
      </c>
      <c r="H296" s="22" t="s">
        <v>305</v>
      </c>
      <c r="I296" s="11" t="s">
        <v>610</v>
      </c>
      <c r="J296" s="91" t="str">
        <f>IF(K296&gt;=1,"Completado",IF(G296&lt;FECHA_ESTADO,"Atrasado",IF(K296&gt;0,"En progreso","No iniciado")))</f>
        <v>No iniciado</v>
      </c>
      <c r="K296" s="95">
        <v>0.0</v>
      </c>
      <c r="L296" s="91">
        <f t="array" ref="L296">INDEX(NLAB,MATCH($F$297,FECHAS,0))-1-INDEX(NLAB,MATCH(G296,FECHAS,0))</f>
        <v>0</v>
      </c>
      <c r="M296" s="91">
        <v>0.0</v>
      </c>
      <c r="N296" s="91" t="str">
        <f t="shared" ref="N296:N300" si="86">IF(M296&lt;=0,"Sí","No")</f>
        <v>Sí</v>
      </c>
      <c r="AI296" s="41"/>
    </row>
    <row r="297" ht="27.0" hidden="1" customHeight="1" outlineLevel="3">
      <c r="A297" s="91" t="s">
        <v>188</v>
      </c>
      <c r="B297" s="91" t="s">
        <v>757</v>
      </c>
      <c r="C297" s="11"/>
      <c r="D297" s="11" t="s">
        <v>758</v>
      </c>
      <c r="E297" s="92">
        <v>6.0</v>
      </c>
      <c r="F297" s="94">
        <f t="array" ref="F297">INDEX(FECHAS,MATCH(INDEX(NLAB,MATCH($G$296,FECHAS,0))+1,NLAB,0))</f>
        <v>46416</v>
      </c>
      <c r="G297" s="94">
        <f t="array" ref="G297">IF(E297=0,F297,INDEX(FECHAS,MATCH(INDEX(NLAB,MATCH(F297,FECHAS,0))+E297-1,NLAB,0)))</f>
        <v>46422</v>
      </c>
      <c r="H297" s="22" t="s">
        <v>755</v>
      </c>
      <c r="I297" s="11" t="s">
        <v>346</v>
      </c>
      <c r="J297" s="91" t="str">
        <f>IF(K297&gt;=1,"Completado",IF(G297&lt;FECHA_ESTADO,"Atrasado",IF(K297&gt;0,"En progreso","No iniciado")))</f>
        <v>No iniciado</v>
      </c>
      <c r="K297" s="95">
        <v>0.0</v>
      </c>
      <c r="L297" s="91">
        <f t="array" ref="L297">INDEX(NLAB,MATCH($F$298,FECHAS,0))-1-INDEX(NLAB,MATCH(G297,FECHAS,0))</f>
        <v>0</v>
      </c>
      <c r="M297" s="91">
        <v>0.0</v>
      </c>
      <c r="N297" s="91" t="str">
        <f t="shared" si="86"/>
        <v>Sí</v>
      </c>
      <c r="AI297" s="41"/>
      <c r="AJ297" s="41"/>
    </row>
    <row r="298" ht="15.75" hidden="1" customHeight="1" outlineLevel="3">
      <c r="A298" s="91" t="s">
        <v>188</v>
      </c>
      <c r="B298" s="91" t="s">
        <v>759</v>
      </c>
      <c r="C298" s="11"/>
      <c r="D298" s="11" t="s">
        <v>612</v>
      </c>
      <c r="E298" s="92">
        <v>1.0</v>
      </c>
      <c r="F298" s="94">
        <f t="array" ref="F298">INDEX(FECHAS,MATCH(INDEX(NLAB,MATCH($G$297,FECHAS,0))+1,NLAB,0))</f>
        <v>46423</v>
      </c>
      <c r="G298" s="94">
        <f t="array" ref="G298">IF(E298=0,F298,INDEX(FECHAS,MATCH(INDEX(NLAB,MATCH(F298,FECHAS,0))+E298-1,NLAB,0)))</f>
        <v>46423</v>
      </c>
      <c r="H298" s="22" t="s">
        <v>757</v>
      </c>
      <c r="I298" s="11" t="s">
        <v>261</v>
      </c>
      <c r="J298" s="91" t="str">
        <f>IF(K298&gt;=1,"Completado",IF(G298&lt;FECHA_ESTADO,"Atrasado",IF(K298&gt;0,"En progreso","No iniciado")))</f>
        <v>No iniciado</v>
      </c>
      <c r="K298" s="95">
        <v>0.0</v>
      </c>
      <c r="L298" s="91">
        <f t="array" ref="L298">MIN(INDEX(NLAB,MATCH($F$299,FECHAS,0))-1,INDEX(NLAB,MATCH(DATE(2027,2,5),FECHAS,0)))-INDEX(NLAB,MATCH(G298,FECHAS,0))</f>
        <v>0</v>
      </c>
      <c r="M298" s="91">
        <v>0.0</v>
      </c>
      <c r="N298" s="91" t="str">
        <f t="shared" si="86"/>
        <v>Sí</v>
      </c>
      <c r="AJ298" s="41"/>
    </row>
    <row r="299" ht="15.75" hidden="1" customHeight="1" outlineLevel="3">
      <c r="A299" s="91" t="s">
        <v>188</v>
      </c>
      <c r="B299" s="91" t="s">
        <v>760</v>
      </c>
      <c r="C299" s="11"/>
      <c r="D299" s="11" t="s">
        <v>761</v>
      </c>
      <c r="E299" s="92">
        <v>1.0</v>
      </c>
      <c r="F299" s="121">
        <v>46566.0</v>
      </c>
      <c r="G299" s="94">
        <f t="array" ref="G299">IF(E299=0,F299,INDEX(FECHAS,MATCH(INDEX(NLAB,MATCH(F299,FECHAS,0))+E299-1,NLAB,0)))</f>
        <v>46566</v>
      </c>
      <c r="H299" s="22" t="s">
        <v>759</v>
      </c>
      <c r="I299" s="11" t="s">
        <v>312</v>
      </c>
      <c r="J299" s="91" t="str">
        <f>IF(K299&gt;=1,"Completado",IF(G299&lt;FECHA_ESTADO,"Atrasado",IF(K299&gt;0,"En progreso","No iniciado")))</f>
        <v>No iniciado</v>
      </c>
      <c r="K299" s="95">
        <v>0.0</v>
      </c>
      <c r="L299" s="91">
        <f t="array" ref="L299">INDEX(NLAB,MATCH($F$300,FECHAS,0))-1-INDEX(NLAB,MATCH(G299,FECHAS,0))</f>
        <v>7</v>
      </c>
      <c r="M299" s="91">
        <v>21.0</v>
      </c>
      <c r="N299" s="91" t="str">
        <f t="shared" si="86"/>
        <v>No</v>
      </c>
      <c r="BE299" s="41"/>
    </row>
    <row r="300" ht="15.75" hidden="1" customHeight="1" outlineLevel="3">
      <c r="A300" s="91" t="s">
        <v>188</v>
      </c>
      <c r="B300" s="91" t="s">
        <v>746</v>
      </c>
      <c r="C300" s="11"/>
      <c r="D300" s="11" t="s">
        <v>762</v>
      </c>
      <c r="E300" s="92">
        <v>1.0</v>
      </c>
      <c r="F300" s="94">
        <f t="array" ref="F300">INDEX(FECHAS,MATCH(INDEX(NLAB,MATCH($F$304,FECHAS,0))-17,NLAB,0))</f>
        <v>46576</v>
      </c>
      <c r="G300" s="94">
        <f t="array" ref="G300">IF(E300=0,F300,INDEX(FECHAS,MATCH(INDEX(NLAB,MATCH(F300,FECHAS,0))+E300-1,NLAB,0)))</f>
        <v>46576</v>
      </c>
      <c r="H300" s="22" t="s">
        <v>760</v>
      </c>
      <c r="I300" s="11" t="s">
        <v>449</v>
      </c>
      <c r="J300" s="91" t="str">
        <f>IF(K300&gt;=1,"Completado",IF(G300&lt;FECHA_ESTADO,"Atrasado",IF(K300&gt;0,"En progreso","No iniciado")))</f>
        <v>No iniciado</v>
      </c>
      <c r="K300" s="95">
        <v>0.0</v>
      </c>
      <c r="L300" s="91">
        <f t="array" ref="L300">INDEX(NLAB,MATCH($F$291,FECHAS,0))-1-INDEX(NLAB,MATCH(G300,FECHAS,0))</f>
        <v>2</v>
      </c>
      <c r="M300" s="91">
        <v>14.0</v>
      </c>
      <c r="N300" s="91" t="str">
        <f t="shared" si="86"/>
        <v>No</v>
      </c>
      <c r="BF300" s="41"/>
    </row>
    <row r="301" ht="15.75" hidden="1" customHeight="1" outlineLevel="2">
      <c r="A301" s="116" t="s">
        <v>188</v>
      </c>
      <c r="B301" s="116" t="s">
        <v>763</v>
      </c>
      <c r="C301" s="117" t="s">
        <v>764</v>
      </c>
      <c r="D301" s="117"/>
      <c r="E301" s="116">
        <f t="array" ref="E301">INDEX(NLAB,MATCH(G301,FECHAS,0))-INDEX(NLAB,MATCH(F301,FECHAS,0))+1</f>
        <v>1</v>
      </c>
      <c r="F301" s="118">
        <f>MIN(F302)</f>
        <v>46599</v>
      </c>
      <c r="G301" s="118">
        <f>MAX(G302)</f>
        <v>46600</v>
      </c>
      <c r="H301" s="119"/>
      <c r="I301" s="117"/>
      <c r="J301" s="116" t="str">
        <f>IF(K301&gt;=1,"Completado",IF(AND(G301&lt;FECHA_ESTADO,K301&lt;1),"Atrasado",IF(K301&gt;0,"En progreso","No iniciado")))</f>
        <v>No iniciado</v>
      </c>
      <c r="K301" s="120">
        <f>IFERROR(SUMPRODUCT(--(C302=""),E302,K302)/SUMPRODUCT(--(C302=""),E302),0)</f>
        <v>0</v>
      </c>
      <c r="L301" s="116"/>
      <c r="M301" s="116"/>
      <c r="N301" s="116"/>
      <c r="BI301" s="41"/>
    </row>
    <row r="302" ht="15.75" hidden="1" customHeight="1" outlineLevel="3">
      <c r="A302" s="91" t="s">
        <v>188</v>
      </c>
      <c r="B302" s="91" t="s">
        <v>765</v>
      </c>
      <c r="C302" s="11"/>
      <c r="D302" s="11" t="s">
        <v>766</v>
      </c>
      <c r="E302" s="92">
        <v>2.0</v>
      </c>
      <c r="F302" s="93">
        <v>46599.0</v>
      </c>
      <c r="G302" s="94">
        <f>F302+1</f>
        <v>46600</v>
      </c>
      <c r="H302" s="22" t="s">
        <v>391</v>
      </c>
      <c r="I302" s="11" t="s">
        <v>449</v>
      </c>
      <c r="J302" s="91" t="str">
        <f>IF(K302&gt;=1,"Completado",IF(G302&lt;FECHA_ESTADO,"Atrasado",IF(K302&gt;0,"En progreso","No iniciado")))</f>
        <v>No iniciado</v>
      </c>
      <c r="K302" s="95">
        <v>0.0</v>
      </c>
      <c r="L302" s="91">
        <f t="array" ref="L302">INDEX(NLAB,MATCH(FIN_PROY,FECHAS,0))-INDEX(NLAB,MATCH(G302,FECHAS,0))</f>
        <v>16</v>
      </c>
      <c r="M302" s="91">
        <v>0.0</v>
      </c>
      <c r="N302" s="91" t="str">
        <f>IF(M302&lt;=0,"Sí","No")</f>
        <v>Sí</v>
      </c>
      <c r="BI302" s="41"/>
    </row>
    <row r="303" ht="15.75" hidden="1" customHeight="1" outlineLevel="2">
      <c r="A303" s="116" t="s">
        <v>188</v>
      </c>
      <c r="B303" s="116" t="s">
        <v>767</v>
      </c>
      <c r="C303" s="117" t="s">
        <v>475</v>
      </c>
      <c r="D303" s="117"/>
      <c r="E303" s="116">
        <f t="array" ref="E303">INDEX(NLAB,MATCH(G303,FECHAS,0))-INDEX(NLAB,MATCH(F303,FECHAS,0))+1</f>
        <v>3</v>
      </c>
      <c r="F303" s="118">
        <f>MIN(F304:F305)</f>
        <v>46599</v>
      </c>
      <c r="G303" s="118">
        <f>MAX(G304:G305)</f>
        <v>46602</v>
      </c>
      <c r="H303" s="119"/>
      <c r="I303" s="117"/>
      <c r="J303" s="116" t="str">
        <f>IF(K303&gt;=1,"Completado",IF(AND(G303&lt;FECHA_ESTADO,K303&lt;1),"Atrasado",IF(K303&gt;0,"En progreso","No iniciado")))</f>
        <v>No iniciado</v>
      </c>
      <c r="K303" s="120">
        <f>IFERROR(SUMPRODUCT(--(C304:C305=""),E304:E305,K304:K305)/SUMPRODUCT(--(C304:C305=""),E304:E305),0)</f>
        <v>0</v>
      </c>
      <c r="L303" s="116"/>
      <c r="M303" s="116"/>
      <c r="N303" s="116"/>
      <c r="BI303" s="41"/>
      <c r="BJ303" s="41"/>
    </row>
    <row r="304" ht="27.0" hidden="1" customHeight="1" outlineLevel="3">
      <c r="A304" s="91" t="s">
        <v>188</v>
      </c>
      <c r="B304" s="91" t="s">
        <v>216</v>
      </c>
      <c r="C304" s="11"/>
      <c r="D304" s="11" t="s">
        <v>768</v>
      </c>
      <c r="E304" s="92">
        <v>2.0</v>
      </c>
      <c r="F304" s="93">
        <v>46599.0</v>
      </c>
      <c r="G304" s="94">
        <f>F304+1</f>
        <v>46600</v>
      </c>
      <c r="H304" s="22" t="s">
        <v>769</v>
      </c>
      <c r="I304" s="11" t="s">
        <v>770</v>
      </c>
      <c r="J304" s="91" t="str">
        <f>IF(K304&gt;=1,"Completado",IF(G304&lt;FECHA_ESTADO,"Atrasado",IF(K304&gt;0,"En progreso","No iniciado")))</f>
        <v>No iniciado</v>
      </c>
      <c r="K304" s="95">
        <v>0.0</v>
      </c>
      <c r="L304" s="91">
        <f t="array" ref="L304">MIN(INDEX(NLAB,MATCH($F$103,FECHAS,0))-1,INDEX(NLAB,MATCH($F$305,FECHAS,0))-1,INDEX(NLAB,MATCH($F$307,FECHAS,0))-1,INDEX(NLAB,MATCH($F$309,FECHAS,0))-1,INDEX(NLAB,MATCH($F$341,FECHAS,0))-1,INDEX(NLAB,MATCH($F$348,FECHAS,0))-1,INDEX(NLAB,MATCH(DATE(2027,8,1),FECHAS,0)))-INDEX(NLAB,MATCH(G304,FECHAS,0))</f>
        <v>0</v>
      </c>
      <c r="M304" s="91">
        <v>0.0</v>
      </c>
      <c r="N304" s="91" t="str">
        <f t="shared" ref="N304:N305" si="87">IF(M304&lt;=0,"Sí","No")</f>
        <v>Sí</v>
      </c>
      <c r="BI304" s="41"/>
    </row>
    <row r="305" ht="15.75" hidden="1" customHeight="1" outlineLevel="3">
      <c r="A305" s="91" t="s">
        <v>188</v>
      </c>
      <c r="B305" s="91" t="s">
        <v>771</v>
      </c>
      <c r="C305" s="11"/>
      <c r="D305" s="11" t="s">
        <v>772</v>
      </c>
      <c r="E305" s="92">
        <v>2.0</v>
      </c>
      <c r="F305" s="94">
        <f t="array" ref="F305">INDEX(FECHAS,MATCH(INDEX(NLAB,MATCH($G$304,FECHAS,0))+1,NLAB,0))</f>
        <v>46601</v>
      </c>
      <c r="G305" s="94">
        <f t="array" ref="G305">IF(E305=0,F305,INDEX(FECHAS,MATCH(INDEX(NLAB,MATCH(F305,FECHAS,0))+E305-1,NLAB,0)))</f>
        <v>46602</v>
      </c>
      <c r="H305" s="22" t="s">
        <v>216</v>
      </c>
      <c r="I305" s="11" t="s">
        <v>494</v>
      </c>
      <c r="J305" s="91" t="str">
        <f>IF(K305&gt;=1,"Completado",IF(G305&lt;FECHA_ESTADO,"Atrasado",IF(K305&gt;0,"En progreso","No iniciado")))</f>
        <v>No iniciado</v>
      </c>
      <c r="K305" s="95">
        <v>0.0</v>
      </c>
      <c r="L305" s="91">
        <f t="array" ref="L305">INDEX(NLAB,MATCH($F$334,FECHAS,0))-1-INDEX(NLAB,MATCH(G305,FECHAS,0))</f>
        <v>0</v>
      </c>
      <c r="M305" s="91">
        <v>0.0</v>
      </c>
      <c r="N305" s="91" t="str">
        <f t="shared" si="87"/>
        <v>Sí</v>
      </c>
      <c r="BJ305" s="41"/>
    </row>
    <row r="306" hidden="1" outlineLevel="2">
      <c r="A306" s="116" t="s">
        <v>188</v>
      </c>
      <c r="B306" s="116" t="s">
        <v>773</v>
      </c>
      <c r="C306" s="117" t="s">
        <v>628</v>
      </c>
      <c r="D306" s="117"/>
      <c r="E306" s="116">
        <f t="array" ref="E306">INDEX(NLAB,MATCH(G306,FECHAS,0))-INDEX(NLAB,MATCH(F306,FECHAS,0))+1</f>
        <v>2</v>
      </c>
      <c r="F306" s="118">
        <f>MIN(F307)</f>
        <v>46601</v>
      </c>
      <c r="G306" s="118">
        <f>MAX(G307)</f>
        <v>46602</v>
      </c>
      <c r="H306" s="119"/>
      <c r="I306" s="117"/>
      <c r="J306" s="116" t="str">
        <f>IF(K306&gt;=1,"Completado",IF(AND(G306&lt;FECHA_ESTADO,K306&lt;1),"Atrasado",IF(K306&gt;0,"En progreso","No iniciado")))</f>
        <v>No iniciado</v>
      </c>
      <c r="K306" s="120">
        <f>IFERROR(SUMPRODUCT(--(C307=""),E307,K307)/SUMPRODUCT(--(C307=""),E307),0)</f>
        <v>0</v>
      </c>
      <c r="L306" s="116"/>
      <c r="M306" s="116"/>
      <c r="N306" s="116"/>
      <c r="BJ306" s="41"/>
    </row>
    <row r="307" ht="15.75" hidden="1" customHeight="1" outlineLevel="3">
      <c r="A307" s="91" t="s">
        <v>188</v>
      </c>
      <c r="B307" s="91" t="s">
        <v>774</v>
      </c>
      <c r="C307" s="11"/>
      <c r="D307" s="11" t="s">
        <v>630</v>
      </c>
      <c r="E307" s="92">
        <v>2.0</v>
      </c>
      <c r="F307" s="94">
        <f t="array" ref="F307">INDEX(FECHAS,MATCH(INDEX(NLAB,MATCH($G$304,FECHAS,0))+1,NLAB,0))</f>
        <v>46601</v>
      </c>
      <c r="G307" s="94">
        <f t="array" ref="G307">IF(E307=0,F307,INDEX(FECHAS,MATCH(INDEX(NLAB,MATCH(F307,FECHAS,0))+E307-1,NLAB,0)))</f>
        <v>46602</v>
      </c>
      <c r="H307" s="22" t="s">
        <v>216</v>
      </c>
      <c r="I307" s="11" t="s">
        <v>631</v>
      </c>
      <c r="J307" s="91" t="str">
        <f>IF(K307&gt;=1,"Completado",IF(G307&lt;FECHA_ESTADO,"Atrasado",IF(K307&gt;0,"En progreso","No iniciado")))</f>
        <v>No iniciado</v>
      </c>
      <c r="K307" s="95">
        <v>0.0</v>
      </c>
      <c r="L307" s="91">
        <f t="array" ref="L307">INDEX(NLAB,MATCH($F$334,FECHAS,0))-1-INDEX(NLAB,MATCH(G307,FECHAS,0))</f>
        <v>0</v>
      </c>
      <c r="M307" s="91">
        <v>0.0</v>
      </c>
      <c r="N307" s="91" t="str">
        <f>IF(M307&lt;=0,"Sí","No")</f>
        <v>Sí</v>
      </c>
      <c r="BJ307" s="41"/>
    </row>
    <row r="308" ht="15.75" hidden="1" customHeight="1" outlineLevel="2">
      <c r="A308" s="116" t="s">
        <v>188</v>
      </c>
      <c r="B308" s="116" t="s">
        <v>775</v>
      </c>
      <c r="C308" s="117" t="s">
        <v>496</v>
      </c>
      <c r="D308" s="117"/>
      <c r="E308" s="116">
        <f t="array" ref="E308">INDEX(NLAB,MATCH(G308,FECHAS,0))-INDEX(NLAB,MATCH(F308,FECHAS,0))+1</f>
        <v>1</v>
      </c>
      <c r="F308" s="118">
        <f>MIN(F309)</f>
        <v>46601</v>
      </c>
      <c r="G308" s="118">
        <f>MAX(G309)</f>
        <v>46601</v>
      </c>
      <c r="H308" s="119"/>
      <c r="I308" s="117"/>
      <c r="J308" s="116" t="str">
        <f>IF(K308&gt;=1,"Completado",IF(AND(G308&lt;FECHA_ESTADO,K308&lt;1),"Atrasado",IF(K308&gt;0,"En progreso","No iniciado")))</f>
        <v>No iniciado</v>
      </c>
      <c r="K308" s="120">
        <f>IFERROR(SUMPRODUCT(--(C309=""),E309,K309)/SUMPRODUCT(--(C309=""),E309),0)</f>
        <v>0</v>
      </c>
      <c r="L308" s="116"/>
      <c r="M308" s="116"/>
      <c r="N308" s="116"/>
      <c r="BJ308" s="41"/>
    </row>
    <row r="309" ht="15.75" customHeight="1" outlineLevel="3">
      <c r="A309" s="91" t="s">
        <v>188</v>
      </c>
      <c r="B309" s="91" t="s">
        <v>776</v>
      </c>
      <c r="C309" s="11"/>
      <c r="D309" s="11" t="s">
        <v>634</v>
      </c>
      <c r="E309" s="92">
        <v>1.0</v>
      </c>
      <c r="F309" s="94">
        <f t="array" ref="F309">INDEX(FECHAS,MATCH(INDEX(NLAB,MATCH($G$304,FECHAS,0))+1,NLAB,0))</f>
        <v>46601</v>
      </c>
      <c r="G309" s="94">
        <f t="array" ref="G309">IF(E309=0,F309,INDEX(FECHAS,MATCH(INDEX(NLAB,MATCH(F309,FECHAS,0))+E309-1,NLAB,0)))</f>
        <v>46601</v>
      </c>
      <c r="H309" s="22" t="s">
        <v>216</v>
      </c>
      <c r="I309" s="11" t="s">
        <v>335</v>
      </c>
      <c r="J309" s="91" t="str">
        <f>IF(K309&gt;=1,"Completado",IF(G309&lt;FECHA_ESTADO,"Atrasado",IF(K309&gt;0,"En progreso","No iniciado")))</f>
        <v>No iniciado</v>
      </c>
      <c r="K309" s="95">
        <v>0.0</v>
      </c>
      <c r="L309" s="91">
        <f t="array" ref="L309">MIN(INDEX(NLAB,MATCH($F$334,FECHAS,0))-1,INDEX(NLAB,MATCH($F$344,FECHAS,0))-1)-INDEX(NLAB,MATCH(G309,FECHAS,0))</f>
        <v>0</v>
      </c>
      <c r="M309" s="91">
        <v>1.0</v>
      </c>
      <c r="N309" s="91" t="str">
        <f>IF(M309&lt;=0,"Sí","No")</f>
        <v>No</v>
      </c>
      <c r="BJ309" s="41"/>
    </row>
    <row r="310" ht="15.75" customHeight="1">
      <c r="A310" s="123" t="s">
        <v>217</v>
      </c>
      <c r="B310" s="124" t="s">
        <v>777</v>
      </c>
      <c r="C310" s="125" t="s">
        <v>778</v>
      </c>
      <c r="D310" s="125"/>
      <c r="E310" s="124">
        <f t="array" ref="E310">INDEX(NLAB,MATCH(G310,FECHAS,0))-INDEX(NLAB,MATCH(F310,FECHAS,0))+1</f>
        <v>266</v>
      </c>
      <c r="F310" s="126">
        <f>MIN(F311:F335)</f>
        <v>46293</v>
      </c>
      <c r="G310" s="126">
        <f>MAX(G311:G335)</f>
        <v>46618</v>
      </c>
      <c r="H310" s="123"/>
      <c r="I310" s="125"/>
      <c r="J310" s="124" t="str">
        <f>IF(K310&gt;=1,"Completado",IF(AND(G310&lt;FECHA_ESTADO,K310&lt;1),"Atrasado",IF(K310&gt;0,"En progreso","No iniciado")))</f>
        <v>No iniciado</v>
      </c>
      <c r="K310" s="127">
        <f>IFERROR(SUMPRODUCT(--(C311:C335=""),E311:E335,K311:K335)/SUMPRODUCT(--(C311:C335=""),E311:E335),0)</f>
        <v>0</v>
      </c>
      <c r="L310" s="124"/>
      <c r="M310" s="124"/>
      <c r="N310" s="124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  <c r="BC310" s="41"/>
      <c r="BD310" s="41"/>
      <c r="BE310" s="41"/>
      <c r="BF310" s="41"/>
      <c r="BG310" s="41"/>
      <c r="BH310" s="41"/>
      <c r="BI310" s="41"/>
      <c r="BJ310" s="41"/>
      <c r="BK310" s="41"/>
      <c r="BL310" s="41"/>
    </row>
    <row r="311" ht="15.75" hidden="1" customHeight="1" outlineLevel="1">
      <c r="A311" s="128" t="s">
        <v>217</v>
      </c>
      <c r="B311" s="129" t="s">
        <v>779</v>
      </c>
      <c r="C311" s="130" t="s">
        <v>780</v>
      </c>
      <c r="D311" s="130"/>
      <c r="E311" s="129">
        <f t="array" ref="E311">INDEX(NLAB,MATCH(G311,FECHAS,0))-INDEX(NLAB,MATCH(F311,FECHAS,0))+1</f>
        <v>266</v>
      </c>
      <c r="F311" s="131">
        <f>MIN(F312:F313)</f>
        <v>46293</v>
      </c>
      <c r="G311" s="131">
        <f>MAX(G312:G313)</f>
        <v>46618</v>
      </c>
      <c r="H311" s="128"/>
      <c r="I311" s="130"/>
      <c r="J311" s="129" t="str">
        <f>IF(K311&gt;=1,"Completado",IF(AND(G311&lt;FECHA_ESTADO,K311&lt;1),"Atrasado",IF(K311&gt;0,"En progreso","No iniciado")))</f>
        <v>No iniciado</v>
      </c>
      <c r="K311" s="132">
        <f>IFERROR(SUMPRODUCT(--(C312:C313=""),E312:E313,K312:K313)/SUMPRODUCT(--(C312:C313=""),E312:E313),0)</f>
        <v>0</v>
      </c>
      <c r="L311" s="129"/>
      <c r="M311" s="129"/>
      <c r="N311" s="129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  <c r="BC311" s="41"/>
      <c r="BD311" s="41"/>
      <c r="BE311" s="41"/>
      <c r="BF311" s="41"/>
      <c r="BG311" s="41"/>
      <c r="BH311" s="41"/>
      <c r="BI311" s="41"/>
      <c r="BJ311" s="41"/>
      <c r="BK311" s="41"/>
      <c r="BL311" s="41"/>
    </row>
    <row r="312" ht="27.0" hidden="1" customHeight="1" outlineLevel="2">
      <c r="A312" s="22" t="s">
        <v>217</v>
      </c>
      <c r="B312" s="91" t="s">
        <v>781</v>
      </c>
      <c r="C312" s="11"/>
      <c r="D312" s="11" t="s">
        <v>782</v>
      </c>
      <c r="E312" s="91">
        <f t="array" ref="E312">INDEX(NLAB,MATCH(G312,FECHAS,0))-INDEX(NLAB,MATCH(F312,FECHAS,0))+1</f>
        <v>266</v>
      </c>
      <c r="F312" s="121">
        <v>46293.0</v>
      </c>
      <c r="G312" s="121">
        <v>46618.0</v>
      </c>
      <c r="H312" s="22" t="s">
        <v>252</v>
      </c>
      <c r="I312" s="11" t="s">
        <v>289</v>
      </c>
      <c r="J312" s="91" t="str">
        <f>IF(K312&gt;=1,"Completado",IF(G312&lt;FECHA_ESTADO,"Atrasado",IF(K312&gt;0,"En progreso","No iniciado")))</f>
        <v>No iniciado</v>
      </c>
      <c r="K312" s="95">
        <v>0.0</v>
      </c>
      <c r="L312" s="122" t="s">
        <v>148</v>
      </c>
      <c r="M312" s="122" t="s">
        <v>148</v>
      </c>
      <c r="N312" s="91" t="s">
        <v>377</v>
      </c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  <c r="BC312" s="41"/>
      <c r="BD312" s="41"/>
      <c r="BE312" s="41"/>
      <c r="BF312" s="41"/>
      <c r="BG312" s="41"/>
      <c r="BH312" s="41"/>
      <c r="BI312" s="41"/>
      <c r="BJ312" s="41"/>
      <c r="BK312" s="41"/>
      <c r="BL312" s="41"/>
    </row>
    <row r="313" ht="27.0" hidden="1" customHeight="1" outlineLevel="2">
      <c r="A313" s="22" t="s">
        <v>217</v>
      </c>
      <c r="B313" s="91" t="s">
        <v>783</v>
      </c>
      <c r="C313" s="11"/>
      <c r="D313" s="11" t="s">
        <v>784</v>
      </c>
      <c r="E313" s="92">
        <v>8.0</v>
      </c>
      <c r="F313" s="121">
        <v>46357.0</v>
      </c>
      <c r="G313" s="94">
        <f t="array" ref="G313">IF(E313=0,F313,INDEX(FECHAS,MATCH(INDEX(NLAB,MATCH(F313,FECHAS,0))+E313-1,NLAB,0)))</f>
        <v>46367</v>
      </c>
      <c r="H313" s="22" t="s">
        <v>165</v>
      </c>
      <c r="I313" s="11" t="s">
        <v>473</v>
      </c>
      <c r="J313" s="91" t="str">
        <f>IF(K313&gt;=1,"Completado",IF(G313&lt;FECHA_ESTADO,"Atrasado",IF(K313&gt;0,"En progreso","No iniciado")))</f>
        <v>No iniciado</v>
      </c>
      <c r="K313" s="95">
        <v>0.0</v>
      </c>
      <c r="L313" s="91">
        <f t="array" ref="L313">MIN(INDEX(NLAB,MATCH($F$113,FECHAS,0))-1,INDEX(NLAB,MATCH($F$143,FECHAS,0))-1,INDEX(NLAB,MATCH($F$173,FECHAS,0))-1,INDEX(NLAB,MATCH($F$204,FECHAS,0))-1,INDEX(NLAB,MATCH($F$231,FECHAS,0))-1,INDEX(NLAB,MATCH($F$259,FECHAS,0))-1,INDEX(NLAB,MATCH($F$287,FECHAS,0))-1)-INDEX(NLAB,MATCH(G313,FECHAS,0))</f>
        <v>17</v>
      </c>
      <c r="M313" s="91">
        <v>17.0</v>
      </c>
      <c r="N313" s="91" t="str">
        <f>IF(M313&lt;=0,"Sí","No")</f>
        <v>No</v>
      </c>
      <c r="AA313" s="41"/>
      <c r="AB313" s="41"/>
    </row>
    <row r="314" ht="15.75" hidden="1" customHeight="1" outlineLevel="1">
      <c r="A314" s="128" t="s">
        <v>217</v>
      </c>
      <c r="B314" s="129" t="s">
        <v>785</v>
      </c>
      <c r="C314" s="130" t="s">
        <v>786</v>
      </c>
      <c r="D314" s="130"/>
      <c r="E314" s="129">
        <f t="array" ref="E314">INDEX(NLAB,MATCH(G314,FECHAS,0))-INDEX(NLAB,MATCH(F314,FECHAS,0))+1</f>
        <v>232</v>
      </c>
      <c r="F314" s="131">
        <f>MIN(F315)</f>
        <v>46328</v>
      </c>
      <c r="G314" s="131">
        <f>MAX(G315)</f>
        <v>46612</v>
      </c>
      <c r="H314" s="128"/>
      <c r="I314" s="130"/>
      <c r="J314" s="129" t="str">
        <f>IF(K314&gt;=1,"Completado",IF(AND(G314&lt;FECHA_ESTADO,K314&lt;1),"Atrasado",IF(K314&gt;0,"En progreso","No iniciado")))</f>
        <v>No iniciado</v>
      </c>
      <c r="K314" s="132">
        <f>IFERROR(SUMPRODUCT(--(C315=""),E315,K315)/SUMPRODUCT(--(C315=""),E315),0)</f>
        <v>0</v>
      </c>
      <c r="L314" s="129"/>
      <c r="M314" s="129"/>
      <c r="N314" s="129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  <c r="BC314" s="41"/>
      <c r="BD314" s="41"/>
      <c r="BE314" s="41"/>
      <c r="BF314" s="41"/>
      <c r="BG314" s="41"/>
      <c r="BH314" s="41"/>
      <c r="BI314" s="41"/>
      <c r="BJ314" s="41"/>
      <c r="BK314" s="41"/>
    </row>
    <row r="315" ht="27.0" hidden="1" customHeight="1" outlineLevel="2">
      <c r="A315" s="22" t="s">
        <v>217</v>
      </c>
      <c r="B315" s="91" t="s">
        <v>787</v>
      </c>
      <c r="C315" s="11"/>
      <c r="D315" s="11" t="s">
        <v>788</v>
      </c>
      <c r="E315" s="91">
        <f t="array" ref="E315">INDEX(NLAB,MATCH(G315,FECHAS,0))-INDEX(NLAB,MATCH(F315,FECHAS,0))+1</f>
        <v>232</v>
      </c>
      <c r="F315" s="121">
        <v>46328.0</v>
      </c>
      <c r="G315" s="121">
        <v>46612.0</v>
      </c>
      <c r="H315" s="22" t="s">
        <v>252</v>
      </c>
      <c r="I315" s="11" t="s">
        <v>261</v>
      </c>
      <c r="J315" s="91" t="str">
        <f>IF(K315&gt;=1,"Completado",IF(G315&lt;FECHA_ESTADO,"Atrasado",IF(K315&gt;0,"En progreso","No iniciado")))</f>
        <v>No iniciado</v>
      </c>
      <c r="K315" s="95">
        <v>0.0</v>
      </c>
      <c r="L315" s="122" t="s">
        <v>148</v>
      </c>
      <c r="M315" s="122" t="s">
        <v>148</v>
      </c>
      <c r="N315" s="91" t="s">
        <v>377</v>
      </c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  <c r="BC315" s="41"/>
      <c r="BD315" s="41"/>
      <c r="BE315" s="41"/>
      <c r="BF315" s="41"/>
      <c r="BG315" s="41"/>
      <c r="BH315" s="41"/>
      <c r="BI315" s="41"/>
      <c r="BJ315" s="41"/>
      <c r="BK315" s="41"/>
    </row>
    <row r="316" ht="15.75" hidden="1" customHeight="1" outlineLevel="1">
      <c r="A316" s="133" t="s">
        <v>217</v>
      </c>
      <c r="B316" s="134" t="s">
        <v>789</v>
      </c>
      <c r="C316" s="135" t="s">
        <v>790</v>
      </c>
      <c r="D316" s="135"/>
      <c r="E316" s="134">
        <f t="array" ref="E316">INDEX(NLAB,MATCH(G316,FECHAS,0))-INDEX(NLAB,MATCH(F316,FECHAS,0))+1</f>
        <v>104</v>
      </c>
      <c r="F316" s="136">
        <f>MIN(F317:F335)</f>
        <v>46477</v>
      </c>
      <c r="G316" s="136">
        <f>MAX(G317:G335)</f>
        <v>46604</v>
      </c>
      <c r="H316" s="133"/>
      <c r="I316" s="135"/>
      <c r="J316" s="134" t="str">
        <f>IF(K316&gt;=1,"Completado",IF(AND(G316&lt;FECHA_ESTADO,K316&lt;1),"Atrasado",IF(K316&gt;0,"En progreso","No iniciado")))</f>
        <v>No iniciado</v>
      </c>
      <c r="K316" s="137">
        <f>IFERROR(SUMPRODUCT(--(C317:C335=""),E317:E335,K317:K335)/SUMPRODUCT(--(C317:C335=""),E317:E335),0)</f>
        <v>0</v>
      </c>
      <c r="L316" s="134"/>
      <c r="M316" s="134"/>
      <c r="N316" s="134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  <c r="BC316" s="41"/>
      <c r="BD316" s="41"/>
      <c r="BE316" s="41"/>
      <c r="BF316" s="41"/>
      <c r="BG316" s="41"/>
      <c r="BH316" s="41"/>
      <c r="BI316" s="41"/>
      <c r="BJ316" s="41"/>
    </row>
    <row r="317" outlineLevel="2">
      <c r="A317" s="128" t="s">
        <v>217</v>
      </c>
      <c r="B317" s="129" t="s">
        <v>791</v>
      </c>
      <c r="C317" s="130" t="s">
        <v>792</v>
      </c>
      <c r="D317" s="130"/>
      <c r="E317" s="129">
        <f t="array" ref="E317">INDEX(NLAB,MATCH(G317,FECHAS,0))-INDEX(NLAB,MATCH(F317,FECHAS,0))+1</f>
        <v>1</v>
      </c>
      <c r="F317" s="131">
        <f>MIN(F318)</f>
        <v>46477</v>
      </c>
      <c r="G317" s="131">
        <f>MAX(G318)</f>
        <v>46477</v>
      </c>
      <c r="H317" s="128"/>
      <c r="I317" s="130"/>
      <c r="J317" s="129" t="str">
        <f>IF(K317&gt;=1,"Completado",IF(AND(G317&lt;FECHA_ESTADO,K317&lt;1),"Atrasado",IF(K317&gt;0,"En progreso","No iniciado")))</f>
        <v>No iniciado</v>
      </c>
      <c r="K317" s="132">
        <f>IFERROR(SUMPRODUCT(--(C318=""),E318,K318)/SUMPRODUCT(--(C318=""),E318),0)</f>
        <v>0</v>
      </c>
      <c r="L317" s="129"/>
      <c r="M317" s="129"/>
      <c r="N317" s="129"/>
      <c r="AR317" s="41"/>
    </row>
    <row r="318" ht="27.0" customHeight="1" outlineLevel="3">
      <c r="A318" s="22" t="s">
        <v>217</v>
      </c>
      <c r="B318" s="91" t="s">
        <v>793</v>
      </c>
      <c r="C318" s="11"/>
      <c r="D318" s="11" t="s">
        <v>794</v>
      </c>
      <c r="E318" s="92">
        <v>1.0</v>
      </c>
      <c r="F318" s="94">
        <f t="array" ref="F318">INDEX(FECHAS,MATCH(INDEX(NLAB,MATCH(MAX($G$131,$G$133,$G$99),FECHAS,0))+1,NLAB,0))</f>
        <v>46477</v>
      </c>
      <c r="G318" s="94">
        <f t="array" ref="G318">IF(E318=0,F318,INDEX(FECHAS,MATCH(INDEX(NLAB,MATCH(F318,FECHAS,0))+E318-1,NLAB,0)))</f>
        <v>46477</v>
      </c>
      <c r="H318" s="22" t="s">
        <v>795</v>
      </c>
      <c r="I318" s="11" t="s">
        <v>796</v>
      </c>
      <c r="J318" s="91" t="str">
        <f>IF(K318&gt;=1,"Completado",IF(G318&lt;FECHA_ESTADO,"Atrasado",IF(K318&gt;0,"En progreso","No iniciado")))</f>
        <v>No iniciado</v>
      </c>
      <c r="K318" s="95">
        <v>0.0</v>
      </c>
      <c r="L318" s="91">
        <f t="array" ref="L318">INDEX(NLAB,MATCH($F$326,FECHAS,0))-1-INDEX(NLAB,MATCH(G318,FECHAS,0))</f>
        <v>1</v>
      </c>
      <c r="M318" s="91">
        <v>1.0</v>
      </c>
      <c r="N318" s="91" t="str">
        <f>IF(M318&lt;=0,"Sí","No")</f>
        <v>No</v>
      </c>
      <c r="AR318" s="41"/>
    </row>
    <row r="319" outlineLevel="2">
      <c r="A319" s="128" t="s">
        <v>217</v>
      </c>
      <c r="B319" s="129" t="s">
        <v>797</v>
      </c>
      <c r="C319" s="130" t="s">
        <v>798</v>
      </c>
      <c r="D319" s="130"/>
      <c r="E319" s="129">
        <f t="array" ref="E319">INDEX(NLAB,MATCH(G319,FECHAS,0))-INDEX(NLAB,MATCH(F319,FECHAS,0))+1</f>
        <v>1</v>
      </c>
      <c r="F319" s="131">
        <f>MIN(F320)</f>
        <v>46505</v>
      </c>
      <c r="G319" s="131">
        <f>MAX(G320)</f>
        <v>46505</v>
      </c>
      <c r="H319" s="128"/>
      <c r="I319" s="130"/>
      <c r="J319" s="129" t="str">
        <f>IF(K319&gt;=1,"Completado",IF(AND(G319&lt;FECHA_ESTADO,K319&lt;1),"Atrasado",IF(K319&gt;0,"En progreso","No iniciado")))</f>
        <v>No iniciado</v>
      </c>
      <c r="K319" s="132">
        <f>IFERROR(SUMPRODUCT(--(C320=""),E320,K320)/SUMPRODUCT(--(C320=""),E320),0)</f>
        <v>0</v>
      </c>
      <c r="L319" s="129"/>
      <c r="M319" s="129"/>
      <c r="N319" s="129"/>
      <c r="AV319" s="41"/>
    </row>
    <row r="320" ht="27.0" customHeight="1" outlineLevel="3">
      <c r="A320" s="22" t="s">
        <v>217</v>
      </c>
      <c r="B320" s="91" t="s">
        <v>799</v>
      </c>
      <c r="C320" s="11"/>
      <c r="D320" s="11" t="s">
        <v>794</v>
      </c>
      <c r="E320" s="92">
        <v>1.0</v>
      </c>
      <c r="F320" s="94">
        <f t="array" ref="F320">INDEX(FECHAS,MATCH(INDEX(NLAB,MATCH(MAX($G$161,$G$163,$G$100),FECHAS,0))+1,NLAB,0))</f>
        <v>46505</v>
      </c>
      <c r="G320" s="94">
        <f t="array" ref="G320">IF(E320=0,F320,INDEX(FECHAS,MATCH(INDEX(NLAB,MATCH(F320,FECHAS,0))+E320-1,NLAB,0)))</f>
        <v>46505</v>
      </c>
      <c r="H320" s="22" t="s">
        <v>800</v>
      </c>
      <c r="I320" s="11" t="s">
        <v>796</v>
      </c>
      <c r="J320" s="91" t="str">
        <f>IF(K320&gt;=1,"Completado",IF(G320&lt;FECHA_ESTADO,"Atrasado",IF(K320&gt;0,"En progreso","No iniciado")))</f>
        <v>No iniciado</v>
      </c>
      <c r="K320" s="95">
        <v>0.0</v>
      </c>
      <c r="L320" s="91">
        <f t="array" ref="L320">INDEX(NLAB,MATCH($F$329,FECHAS,0))-1-INDEX(NLAB,MATCH(G320,FECHAS,0))</f>
        <v>1</v>
      </c>
      <c r="M320" s="91">
        <v>1.0</v>
      </c>
      <c r="N320" s="91" t="str">
        <f>IF(M320&lt;=0,"Sí","No")</f>
        <v>No</v>
      </c>
      <c r="AV320" s="41"/>
    </row>
    <row r="321" outlineLevel="2">
      <c r="A321" s="128" t="s">
        <v>217</v>
      </c>
      <c r="B321" s="129" t="s">
        <v>801</v>
      </c>
      <c r="C321" s="130" t="s">
        <v>802</v>
      </c>
      <c r="D321" s="130"/>
      <c r="E321" s="129">
        <f t="array" ref="E321">INDEX(NLAB,MATCH(G321,FECHAS,0))-INDEX(NLAB,MATCH(F321,FECHAS,0))+1</f>
        <v>2</v>
      </c>
      <c r="F321" s="131">
        <f>MIN(F322:F323)</f>
        <v>46569</v>
      </c>
      <c r="G321" s="131">
        <f>MAX(G322:G323)</f>
        <v>46570</v>
      </c>
      <c r="H321" s="128"/>
      <c r="I321" s="130"/>
      <c r="J321" s="129" t="str">
        <f>IF(K321&gt;=1,"Completado",IF(AND(G321&lt;FECHA_ESTADO,K321&lt;1),"Atrasado",IF(K321&gt;0,"En progreso","No iniciado")))</f>
        <v>No iniciado</v>
      </c>
      <c r="K321" s="132">
        <f>IFERROR(SUMPRODUCT(--(C322:C323=""),E322:E323,K322:K323)/SUMPRODUCT(--(C322:C323=""),E322:E323),0)</f>
        <v>0</v>
      </c>
      <c r="L321" s="129"/>
      <c r="M321" s="129"/>
      <c r="N321" s="129"/>
      <c r="BE321" s="41"/>
    </row>
    <row r="322" ht="27.0" customHeight="1" outlineLevel="3">
      <c r="A322" s="22" t="s">
        <v>217</v>
      </c>
      <c r="B322" s="91" t="s">
        <v>803</v>
      </c>
      <c r="C322" s="11"/>
      <c r="D322" s="11" t="s">
        <v>794</v>
      </c>
      <c r="E322" s="92">
        <v>1.0</v>
      </c>
      <c r="F322" s="94">
        <f t="array" ref="F322">INDEX(FECHAS,MATCH(INDEX(NLAB,MATCH(MAX($G$192,$G$194,$G$102),FECHAS,0))+1,NLAB,0))</f>
        <v>46569</v>
      </c>
      <c r="G322" s="94">
        <f t="array" ref="G322">IF(E322=0,F322,INDEX(FECHAS,MATCH(INDEX(NLAB,MATCH(F322,FECHAS,0))+E322-1,NLAB,0)))</f>
        <v>46569</v>
      </c>
      <c r="H322" s="22" t="s">
        <v>804</v>
      </c>
      <c r="I322" s="11" t="s">
        <v>796</v>
      </c>
      <c r="J322" s="91" t="str">
        <f>IF(K322&gt;=1,"Completado",IF(G322&lt;FECHA_ESTADO,"Atrasado",IF(K322&gt;0,"En progreso","No iniciado")))</f>
        <v>No iniciado</v>
      </c>
      <c r="K322" s="95">
        <v>0.0</v>
      </c>
      <c r="L322" s="91">
        <f t="array" ref="L322">INDEX(NLAB,MATCH($F$323,FECHAS,0))-1-INDEX(NLAB,MATCH(G322,FECHAS,0))</f>
        <v>0</v>
      </c>
      <c r="M322" s="91">
        <v>0.0</v>
      </c>
      <c r="N322" s="91" t="str">
        <f t="shared" ref="N322:N323" si="88">IF(M322&lt;=0,"Sí","No")</f>
        <v>Sí</v>
      </c>
      <c r="BE322" s="41"/>
    </row>
    <row r="323" ht="27.0" customHeight="1" outlineLevel="3">
      <c r="A323" s="22" t="s">
        <v>217</v>
      </c>
      <c r="B323" s="91" t="s">
        <v>233</v>
      </c>
      <c r="C323" s="11"/>
      <c r="D323" s="11" t="s">
        <v>805</v>
      </c>
      <c r="E323" s="92">
        <v>1.0</v>
      </c>
      <c r="F323" s="93">
        <v>46570.0</v>
      </c>
      <c r="G323" s="94">
        <f t="array" ref="G323">IF(E323=0,F323,INDEX(FECHAS,MATCH(INDEX(NLAB,MATCH(F323,FECHAS,0))+E323-1,NLAB,0)))</f>
        <v>46570</v>
      </c>
      <c r="H323" s="22" t="s">
        <v>803</v>
      </c>
      <c r="I323" s="11" t="s">
        <v>261</v>
      </c>
      <c r="J323" s="91" t="str">
        <f>IF(K323&gt;=1,"Completado",IF(G323&lt;FECHA_ESTADO,"Atrasado",IF(K323&gt;0,"En progreso","No iniciado")))</f>
        <v>No iniciado</v>
      </c>
      <c r="K323" s="95">
        <v>0.0</v>
      </c>
      <c r="L323" s="91">
        <f t="array" ref="L323">INDEX(NLAB,MATCH(DATE(2027,7,2),FECHAS,0))-INDEX(NLAB,MATCH(G323,FECHAS,0))</f>
        <v>0</v>
      </c>
      <c r="M323" s="91">
        <v>0.0</v>
      </c>
      <c r="N323" s="91" t="str">
        <f t="shared" si="88"/>
        <v>Sí</v>
      </c>
      <c r="BE323" s="41"/>
    </row>
    <row r="324" outlineLevel="2">
      <c r="A324" s="128" t="s">
        <v>217</v>
      </c>
      <c r="B324" s="129" t="s">
        <v>806</v>
      </c>
      <c r="C324" s="130" t="s">
        <v>807</v>
      </c>
      <c r="D324" s="130"/>
      <c r="E324" s="129">
        <f t="array" ref="E324">INDEX(NLAB,MATCH(G324,FECHAS,0))-INDEX(NLAB,MATCH(F324,FECHAS,0))+1</f>
        <v>3</v>
      </c>
      <c r="F324" s="131">
        <f>MIN(F325:F326)</f>
        <v>46477</v>
      </c>
      <c r="G324" s="131">
        <f>MAX(G325:G326)</f>
        <v>46479</v>
      </c>
      <c r="H324" s="128"/>
      <c r="I324" s="130"/>
      <c r="J324" s="129" t="str">
        <f>IF(K324&gt;=1,"Completado",IF(AND(G324&lt;FECHA_ESTADO,K324&lt;1),"Atrasado",IF(K324&gt;0,"En progreso","No iniciado")))</f>
        <v>No iniciado</v>
      </c>
      <c r="K324" s="132">
        <f>IFERROR(SUMPRODUCT(--(C325:C326=""),E325:E326,K325:K326)/SUMPRODUCT(--(C325:C326=""),E325:E326),0)</f>
        <v>0</v>
      </c>
      <c r="L324" s="129"/>
      <c r="M324" s="129"/>
      <c r="N324" s="129"/>
      <c r="AR324" s="41"/>
    </row>
    <row r="325" ht="27.0" customHeight="1" outlineLevel="3">
      <c r="A325" s="22" t="s">
        <v>217</v>
      </c>
      <c r="B325" s="91" t="s">
        <v>808</v>
      </c>
      <c r="C325" s="11"/>
      <c r="D325" s="11" t="s">
        <v>794</v>
      </c>
      <c r="E325" s="92">
        <v>1.0</v>
      </c>
      <c r="F325" s="94">
        <f t="array" ref="F325">INDEX(FECHAS,MATCH(INDEX(NLAB,MATCH(MAX($G$217,$G$219,$G$221,$G$99),FECHAS,0))+1,NLAB,0))</f>
        <v>46477</v>
      </c>
      <c r="G325" s="94">
        <f t="array" ref="G325">IF(E325=0,F325,INDEX(FECHAS,MATCH(INDEX(NLAB,MATCH(F325,FECHAS,0))+E325-1,NLAB,0)))</f>
        <v>46477</v>
      </c>
      <c r="H325" s="22" t="s">
        <v>809</v>
      </c>
      <c r="I325" s="11" t="s">
        <v>796</v>
      </c>
      <c r="J325" s="91" t="str">
        <f>IF(K325&gt;=1,"Completado",IF(G325&lt;FECHA_ESTADO,"Atrasado",IF(K325&gt;0,"En progreso","No iniciado")))</f>
        <v>No iniciado</v>
      </c>
      <c r="K325" s="95">
        <v>0.0</v>
      </c>
      <c r="L325" s="91">
        <f t="array" ref="L325">INDEX(NLAB,MATCH($F$326,FECHAS,0))-1-INDEX(NLAB,MATCH(G325,FECHAS,0))</f>
        <v>1</v>
      </c>
      <c r="M325" s="91">
        <v>1.0</v>
      </c>
      <c r="N325" s="91" t="str">
        <f t="shared" ref="N325:N326" si="89">IF(M325&lt;=0,"Sí","No")</f>
        <v>No</v>
      </c>
      <c r="AR325" s="41"/>
    </row>
    <row r="326" ht="27.0" customHeight="1" outlineLevel="3">
      <c r="A326" s="22" t="s">
        <v>217</v>
      </c>
      <c r="B326" s="91" t="s">
        <v>221</v>
      </c>
      <c r="C326" s="11"/>
      <c r="D326" s="11" t="s">
        <v>810</v>
      </c>
      <c r="E326" s="92">
        <v>1.0</v>
      </c>
      <c r="F326" s="93">
        <v>46479.0</v>
      </c>
      <c r="G326" s="94">
        <f t="array" ref="G326">IF(E326=0,F326,INDEX(FECHAS,MATCH(INDEX(NLAB,MATCH(F326,FECHAS,0))+E326-1,NLAB,0)))</f>
        <v>46479</v>
      </c>
      <c r="H326" s="22" t="s">
        <v>811</v>
      </c>
      <c r="I326" s="11" t="s">
        <v>261</v>
      </c>
      <c r="J326" s="91" t="str">
        <f>IF(K326&gt;=1,"Completado",IF(G326&lt;FECHA_ESTADO,"Atrasado",IF(K326&gt;0,"En progreso","No iniciado")))</f>
        <v>No iniciado</v>
      </c>
      <c r="K326" s="95">
        <v>0.0</v>
      </c>
      <c r="L326" s="91">
        <f t="array" ref="L326">INDEX(NLAB,MATCH(DATE(2027,4,2),FECHAS,0))-INDEX(NLAB,MATCH(G326,FECHAS,0))</f>
        <v>0</v>
      </c>
      <c r="M326" s="91">
        <v>0.0</v>
      </c>
      <c r="N326" s="91" t="str">
        <f t="shared" si="89"/>
        <v>Sí</v>
      </c>
      <c r="AR326" s="41"/>
    </row>
    <row r="327" outlineLevel="2">
      <c r="A327" s="128" t="s">
        <v>217</v>
      </c>
      <c r="B327" s="129" t="s">
        <v>812</v>
      </c>
      <c r="C327" s="130" t="s">
        <v>813</v>
      </c>
      <c r="D327" s="130"/>
      <c r="E327" s="129">
        <f t="array" ref="E327">INDEX(NLAB,MATCH(G327,FECHAS,0))-INDEX(NLAB,MATCH(F327,FECHAS,0))+1</f>
        <v>3</v>
      </c>
      <c r="F327" s="131">
        <f>MIN(F328:F329)</f>
        <v>46505</v>
      </c>
      <c r="G327" s="131">
        <f>MAX(G328:G329)</f>
        <v>46507</v>
      </c>
      <c r="H327" s="128"/>
      <c r="I327" s="130"/>
      <c r="J327" s="129" t="str">
        <f>IF(K327&gt;=1,"Completado",IF(AND(G327&lt;FECHA_ESTADO,K327&lt;1),"Atrasado",IF(K327&gt;0,"En progreso","No iniciado")))</f>
        <v>No iniciado</v>
      </c>
      <c r="K327" s="132">
        <f>IFERROR(SUMPRODUCT(--(C328:C329=""),E328:E329,K328:K329)/SUMPRODUCT(--(C328:C329=""),E328:E329),0)</f>
        <v>0</v>
      </c>
      <c r="L327" s="129"/>
      <c r="M327" s="129"/>
      <c r="N327" s="129"/>
      <c r="AV327" s="41"/>
    </row>
    <row r="328" ht="27.0" customHeight="1" outlineLevel="3">
      <c r="A328" s="22" t="s">
        <v>217</v>
      </c>
      <c r="B328" s="91" t="s">
        <v>814</v>
      </c>
      <c r="C328" s="11"/>
      <c r="D328" s="11" t="s">
        <v>794</v>
      </c>
      <c r="E328" s="92">
        <v>1.0</v>
      </c>
      <c r="F328" s="94">
        <f t="array" ref="F328">INDEX(FECHAS,MATCH(INDEX(NLAB,MATCH(MAX($G$245,$G$247,$G$249,$G$100),FECHAS,0))+1,NLAB,0))</f>
        <v>46505</v>
      </c>
      <c r="G328" s="94">
        <f t="array" ref="G328">IF(E328=0,F328,INDEX(FECHAS,MATCH(INDEX(NLAB,MATCH(F328,FECHAS,0))+E328-1,NLAB,0)))</f>
        <v>46505</v>
      </c>
      <c r="H328" s="22" t="s">
        <v>815</v>
      </c>
      <c r="I328" s="11" t="s">
        <v>796</v>
      </c>
      <c r="J328" s="91" t="str">
        <f>IF(K328&gt;=1,"Completado",IF(G328&lt;FECHA_ESTADO,"Atrasado",IF(K328&gt;0,"En progreso","No iniciado")))</f>
        <v>No iniciado</v>
      </c>
      <c r="K328" s="95">
        <v>0.0</v>
      </c>
      <c r="L328" s="91">
        <f t="array" ref="L328">INDEX(NLAB,MATCH($F$329,FECHAS,0))-1-INDEX(NLAB,MATCH(G328,FECHAS,0))</f>
        <v>1</v>
      </c>
      <c r="M328" s="91">
        <v>1.0</v>
      </c>
      <c r="N328" s="91" t="str">
        <f t="shared" ref="N328:N329" si="90">IF(M328&lt;=0,"Sí","No")</f>
        <v>No</v>
      </c>
      <c r="AV328" s="41"/>
    </row>
    <row r="329" ht="27.0" customHeight="1" outlineLevel="3">
      <c r="A329" s="22" t="s">
        <v>217</v>
      </c>
      <c r="B329" s="91" t="s">
        <v>225</v>
      </c>
      <c r="C329" s="11"/>
      <c r="D329" s="11" t="s">
        <v>816</v>
      </c>
      <c r="E329" s="92">
        <v>1.0</v>
      </c>
      <c r="F329" s="93">
        <v>46507.0</v>
      </c>
      <c r="G329" s="94">
        <f t="array" ref="G329">IF(E329=0,F329,INDEX(FECHAS,MATCH(INDEX(NLAB,MATCH(F329,FECHAS,0))+E329-1,NLAB,0)))</f>
        <v>46507</v>
      </c>
      <c r="H329" s="22" t="s">
        <v>817</v>
      </c>
      <c r="I329" s="11" t="s">
        <v>261</v>
      </c>
      <c r="J329" s="91" t="str">
        <f>IF(K329&gt;=1,"Completado",IF(G329&lt;FECHA_ESTADO,"Atrasado",IF(K329&gt;0,"En progreso","No iniciado")))</f>
        <v>No iniciado</v>
      </c>
      <c r="K329" s="95">
        <v>0.0</v>
      </c>
      <c r="L329" s="91">
        <f t="array" ref="L329">INDEX(NLAB,MATCH(DATE(2027,4,30),FECHAS,0))-INDEX(NLAB,MATCH(G329,FECHAS,0))</f>
        <v>0</v>
      </c>
      <c r="M329" s="91">
        <v>0.0</v>
      </c>
      <c r="N329" s="91" t="str">
        <f t="shared" si="90"/>
        <v>Sí</v>
      </c>
      <c r="AV329" s="41"/>
    </row>
    <row r="330" outlineLevel="2">
      <c r="A330" s="128" t="s">
        <v>217</v>
      </c>
      <c r="B330" s="129" t="s">
        <v>818</v>
      </c>
      <c r="C330" s="130" t="s">
        <v>819</v>
      </c>
      <c r="D330" s="130"/>
      <c r="E330" s="129">
        <f t="array" ref="E330">INDEX(NLAB,MATCH(G330,FECHAS,0))-INDEX(NLAB,MATCH(F330,FECHAS,0))+1</f>
        <v>3</v>
      </c>
      <c r="F330" s="131">
        <f>MIN(F331:F332)</f>
        <v>46540</v>
      </c>
      <c r="G330" s="131">
        <f>MAX(G331:G332)</f>
        <v>46542</v>
      </c>
      <c r="H330" s="128"/>
      <c r="I330" s="130"/>
      <c r="J330" s="129" t="str">
        <f>IF(K330&gt;=1,"Completado",IF(AND(G330&lt;FECHA_ESTADO,K330&lt;1),"Atrasado",IF(K330&gt;0,"En progreso","No iniciado")))</f>
        <v>No iniciado</v>
      </c>
      <c r="K330" s="132">
        <f>IFERROR(SUMPRODUCT(--(C331:C332=""),E331:E332,K331:K332)/SUMPRODUCT(--(C331:C332=""),E331:E332),0)</f>
        <v>0</v>
      </c>
      <c r="L330" s="129"/>
      <c r="M330" s="129"/>
      <c r="N330" s="129"/>
      <c r="BA330" s="41"/>
    </row>
    <row r="331" ht="27.0" customHeight="1" outlineLevel="3">
      <c r="A331" s="22" t="s">
        <v>217</v>
      </c>
      <c r="B331" s="91" t="s">
        <v>820</v>
      </c>
      <c r="C331" s="11"/>
      <c r="D331" s="11" t="s">
        <v>794</v>
      </c>
      <c r="E331" s="92">
        <v>1.0</v>
      </c>
      <c r="F331" s="94">
        <f t="array" ref="F331">INDEX(FECHAS,MATCH(INDEX(NLAB,MATCH(MAX($G$273,$G$275,$G$277,$G$101),FECHAS,0))+1,NLAB,0))</f>
        <v>46540</v>
      </c>
      <c r="G331" s="94">
        <f t="array" ref="G331">IF(E331=0,F331,INDEX(FECHAS,MATCH(INDEX(NLAB,MATCH(F331,FECHAS,0))+E331-1,NLAB,0)))</f>
        <v>46540</v>
      </c>
      <c r="H331" s="22" t="s">
        <v>821</v>
      </c>
      <c r="I331" s="11" t="s">
        <v>796</v>
      </c>
      <c r="J331" s="91" t="str">
        <f>IF(K331&gt;=1,"Completado",IF(G331&lt;FECHA_ESTADO,"Atrasado",IF(K331&gt;0,"En progreso","No iniciado")))</f>
        <v>No iniciado</v>
      </c>
      <c r="K331" s="95">
        <v>0.0</v>
      </c>
      <c r="L331" s="91">
        <f t="array" ref="L331">INDEX(NLAB,MATCH($F$332,FECHAS,0))-1-INDEX(NLAB,MATCH(G331,FECHAS,0))</f>
        <v>1</v>
      </c>
      <c r="M331" s="91">
        <v>1.0</v>
      </c>
      <c r="N331" s="91" t="str">
        <f t="shared" ref="N331:N332" si="91">IF(M331&lt;=0,"Sí","No")</f>
        <v>No</v>
      </c>
      <c r="BA331" s="41"/>
    </row>
    <row r="332" ht="27.0" customHeight="1" outlineLevel="3">
      <c r="A332" s="22" t="s">
        <v>217</v>
      </c>
      <c r="B332" s="91" t="s">
        <v>229</v>
      </c>
      <c r="C332" s="11"/>
      <c r="D332" s="11" t="s">
        <v>822</v>
      </c>
      <c r="E332" s="92">
        <v>1.0</v>
      </c>
      <c r="F332" s="93">
        <v>46542.0</v>
      </c>
      <c r="G332" s="94">
        <f t="array" ref="G332">IF(E332=0,F332,INDEX(FECHAS,MATCH(INDEX(NLAB,MATCH(F332,FECHAS,0))+E332-1,NLAB,0)))</f>
        <v>46542</v>
      </c>
      <c r="H332" s="22" t="s">
        <v>820</v>
      </c>
      <c r="I332" s="11" t="s">
        <v>261</v>
      </c>
      <c r="J332" s="91" t="str">
        <f>IF(K332&gt;=1,"Completado",IF(G332&lt;FECHA_ESTADO,"Atrasado",IF(K332&gt;0,"En progreso","No iniciado")))</f>
        <v>No iniciado</v>
      </c>
      <c r="K332" s="95">
        <v>0.0</v>
      </c>
      <c r="L332" s="91">
        <f t="array" ref="L332">INDEX(NLAB,MATCH(DATE(2027,6,4),FECHAS,0))-INDEX(NLAB,MATCH(G332,FECHAS,0))</f>
        <v>0</v>
      </c>
      <c r="M332" s="91">
        <v>0.0</v>
      </c>
      <c r="N332" s="91" t="str">
        <f t="shared" si="91"/>
        <v>Sí</v>
      </c>
      <c r="BA332" s="41"/>
    </row>
    <row r="333" outlineLevel="2">
      <c r="A333" s="128" t="s">
        <v>217</v>
      </c>
      <c r="B333" s="129" t="s">
        <v>823</v>
      </c>
      <c r="C333" s="130" t="s">
        <v>824</v>
      </c>
      <c r="D333" s="130"/>
      <c r="E333" s="129">
        <f t="array" ref="E333">INDEX(NLAB,MATCH(G333,FECHAS,0))-INDEX(NLAB,MATCH(F333,FECHAS,0))+1</f>
        <v>2</v>
      </c>
      <c r="F333" s="131">
        <f>MIN(F334:F335)</f>
        <v>46603</v>
      </c>
      <c r="G333" s="131">
        <f>MAX(G334:G335)</f>
        <v>46604</v>
      </c>
      <c r="H333" s="128"/>
      <c r="I333" s="130"/>
      <c r="J333" s="129" t="str">
        <f>IF(K333&gt;=1,"Completado",IF(AND(G333&lt;FECHA_ESTADO,K333&lt;1),"Atrasado",IF(K333&gt;0,"En progreso","No iniciado")))</f>
        <v>No iniciado</v>
      </c>
      <c r="K333" s="132">
        <f>IFERROR(SUMPRODUCT(--(C334:C335=""),E334:E335,K334:K335)/SUMPRODUCT(--(C334:C335=""),E334:E335),0)</f>
        <v>0</v>
      </c>
      <c r="L333" s="129"/>
      <c r="M333" s="129"/>
      <c r="N333" s="129"/>
      <c r="BJ333" s="41"/>
    </row>
    <row r="334" ht="27.0" customHeight="1" outlineLevel="3">
      <c r="A334" s="22" t="s">
        <v>217</v>
      </c>
      <c r="B334" s="91" t="s">
        <v>825</v>
      </c>
      <c r="C334" s="11"/>
      <c r="D334" s="11" t="s">
        <v>794</v>
      </c>
      <c r="E334" s="92">
        <v>1.0</v>
      </c>
      <c r="F334" s="94">
        <f t="array" ref="F334">INDEX(FECHAS,MATCH(INDEX(NLAB,MATCH(MAX($G$305,$G$307,$G$309,$G$103),FECHAS,0))+1,NLAB,0))</f>
        <v>46603</v>
      </c>
      <c r="G334" s="94">
        <f t="array" ref="G334">IF(E334=0,F334,INDEX(FECHAS,MATCH(INDEX(NLAB,MATCH(F334,FECHAS,0))+E334-1,NLAB,0)))</f>
        <v>46603</v>
      </c>
      <c r="H334" s="22" t="s">
        <v>826</v>
      </c>
      <c r="I334" s="11" t="s">
        <v>796</v>
      </c>
      <c r="J334" s="91" t="str">
        <f>IF(K334&gt;=1,"Completado",IF(G334&lt;FECHA_ESTADO,"Atrasado",IF(K334&gt;0,"En progreso","No iniciado")))</f>
        <v>No iniciado</v>
      </c>
      <c r="K334" s="95">
        <v>0.0</v>
      </c>
      <c r="L334" s="91">
        <f t="array" ref="L334">INDEX(NLAB,MATCH($F$335,FECHAS,0))-1-INDEX(NLAB,MATCH(G334,FECHAS,0))</f>
        <v>0</v>
      </c>
      <c r="M334" s="91">
        <v>0.0</v>
      </c>
      <c r="N334" s="91" t="str">
        <f t="shared" ref="N334:N335" si="92">IF(M334&lt;=0,"Sí","No")</f>
        <v>Sí</v>
      </c>
      <c r="BJ334" s="41"/>
    </row>
    <row r="335" ht="27.0" customHeight="1" outlineLevel="3">
      <c r="A335" s="22" t="s">
        <v>217</v>
      </c>
      <c r="B335" s="91" t="s">
        <v>237</v>
      </c>
      <c r="C335" s="11"/>
      <c r="D335" s="11" t="s">
        <v>827</v>
      </c>
      <c r="E335" s="92">
        <v>1.0</v>
      </c>
      <c r="F335" s="93">
        <v>46604.0</v>
      </c>
      <c r="G335" s="94">
        <f t="array" ref="G335">IF(E335=0,F335,INDEX(FECHAS,MATCH(INDEX(NLAB,MATCH(F335,FECHAS,0))+E335-1,NLAB,0)))</f>
        <v>46604</v>
      </c>
      <c r="H335" s="22" t="s">
        <v>825</v>
      </c>
      <c r="I335" s="11" t="s">
        <v>261</v>
      </c>
      <c r="J335" s="91" t="str">
        <f>IF(K335&gt;=1,"Completado",IF(G335&lt;FECHA_ESTADO,"Atrasado",IF(K335&gt;0,"En progreso","No iniciado")))</f>
        <v>No iniciado</v>
      </c>
      <c r="K335" s="95">
        <v>0.0</v>
      </c>
      <c r="L335" s="91">
        <f t="array" ref="L335">MIN(INDEX(NLAB,MATCH($F$338,FECHAS,0))-1,INDEX(NLAB,MATCH($F$349,FECHAS,0))-1,INDEX(NLAB,MATCH(DATE(2027,8,5),FECHAS,0)))-INDEX(NLAB,MATCH(G335,FECHAS,0))</f>
        <v>0</v>
      </c>
      <c r="M335" s="91">
        <v>0.0</v>
      </c>
      <c r="N335" s="91" t="str">
        <f t="shared" si="92"/>
        <v>Sí</v>
      </c>
      <c r="BJ335" s="41"/>
    </row>
    <row r="336" ht="15.75" customHeight="1">
      <c r="A336" s="138" t="s">
        <v>238</v>
      </c>
      <c r="B336" s="138" t="s">
        <v>828</v>
      </c>
      <c r="C336" s="139" t="s">
        <v>829</v>
      </c>
      <c r="D336" s="139"/>
      <c r="E336" s="138">
        <f t="array" ref="E336">INDEX(NLAB,MATCH(G336,FECHAS,0))-INDEX(NLAB,MATCH(F336,FECHAS,0))+1</f>
        <v>16</v>
      </c>
      <c r="F336" s="140">
        <f>MIN(F337:F354)</f>
        <v>46601</v>
      </c>
      <c r="G336" s="140">
        <f>MAX(G337:G354)</f>
        <v>46619</v>
      </c>
      <c r="H336" s="141"/>
      <c r="I336" s="139"/>
      <c r="J336" s="138" t="str">
        <f>IF(K336&gt;=1,"Completado",IF(AND(G336&lt;FECHA_ESTADO,K336&lt;1),"Atrasado",IF(K336&gt;0,"En progreso","No iniciado")))</f>
        <v>No iniciado</v>
      </c>
      <c r="K336" s="142">
        <f>IFERROR(SUMPRODUCT(--(C337:C354=""),E337:E354,K337:K354)/SUMPRODUCT(--(C337:C354=""),E337:E354),0)</f>
        <v>0</v>
      </c>
      <c r="L336" s="138"/>
      <c r="M336" s="138"/>
      <c r="N336" s="138"/>
      <c r="BJ336" s="41"/>
      <c r="BK336" s="41"/>
      <c r="BL336" s="41"/>
    </row>
    <row r="337" ht="15.75" hidden="1" customHeight="1" outlineLevel="1">
      <c r="A337" s="143" t="s">
        <v>238</v>
      </c>
      <c r="B337" s="143" t="s">
        <v>830</v>
      </c>
      <c r="C337" s="144" t="s">
        <v>831</v>
      </c>
      <c r="D337" s="144"/>
      <c r="E337" s="143">
        <f t="array" ref="E337">INDEX(NLAB,MATCH(G337,FECHAS,0))-INDEX(NLAB,MATCH(F337,FECHAS,0))+1</f>
        <v>6</v>
      </c>
      <c r="F337" s="145">
        <f>MIN(F338:F339)</f>
        <v>46606</v>
      </c>
      <c r="G337" s="145">
        <f>MAX(G338:G339)</f>
        <v>46612</v>
      </c>
      <c r="H337" s="146"/>
      <c r="I337" s="144"/>
      <c r="J337" s="143" t="str">
        <f>IF(K337&gt;=1,"Completado",IF(AND(G337&lt;FECHA_ESTADO,K337&lt;1),"Atrasado",IF(K337&gt;0,"En progreso","No iniciado")))</f>
        <v>No iniciado</v>
      </c>
      <c r="K337" s="147">
        <f>IFERROR(SUMPRODUCT(--(C338:C339=""),E338:E339,K338:K339)/SUMPRODUCT(--(C338:C339=""),E338:E339),0)</f>
        <v>0</v>
      </c>
      <c r="L337" s="143"/>
      <c r="M337" s="143"/>
      <c r="N337" s="143"/>
      <c r="BJ337" s="41"/>
      <c r="BK337" s="41"/>
    </row>
    <row r="338" ht="27.0" hidden="1" customHeight="1" outlineLevel="2">
      <c r="A338" s="91" t="s">
        <v>238</v>
      </c>
      <c r="B338" s="91" t="s">
        <v>832</v>
      </c>
      <c r="C338" s="11"/>
      <c r="D338" s="11" t="s">
        <v>833</v>
      </c>
      <c r="E338" s="92">
        <v>5.0</v>
      </c>
      <c r="F338" s="94">
        <f t="array" ref="F338">INDEX(FECHAS,MATCH(INDEX(NLAB,MATCH($G$335,FECHAS,0))+1,NLAB,0))</f>
        <v>46606</v>
      </c>
      <c r="G338" s="94">
        <f t="array" ref="G338">IF(E338=0,F338,INDEX(FECHAS,MATCH(INDEX(NLAB,MATCH(F338,FECHAS,0))+E338-1,NLAB,0)))</f>
        <v>46611</v>
      </c>
      <c r="H338" s="22" t="s">
        <v>237</v>
      </c>
      <c r="I338" s="11" t="s">
        <v>346</v>
      </c>
      <c r="J338" s="91" t="str">
        <f>IF(K338&gt;=1,"Completado",IF(G338&lt;FECHA_ESTADO,"Atrasado",IF(K338&gt;0,"En progreso","No iniciado")))</f>
        <v>No iniciado</v>
      </c>
      <c r="K338" s="95">
        <v>0.0</v>
      </c>
      <c r="L338" s="91">
        <f t="array" ref="L338">INDEX(NLAB,MATCH($F$339,FECHAS,0))-1-INDEX(NLAB,MATCH(G338,FECHAS,0))</f>
        <v>0</v>
      </c>
      <c r="M338" s="91">
        <v>0.0</v>
      </c>
      <c r="N338" s="91" t="str">
        <f t="shared" ref="N338:N339" si="93">IF(M338&lt;=0,"Sí","No")</f>
        <v>Sí</v>
      </c>
      <c r="BJ338" s="41"/>
      <c r="BK338" s="41"/>
    </row>
    <row r="339" ht="27.0" hidden="1" customHeight="1" outlineLevel="2">
      <c r="A339" s="91" t="s">
        <v>238</v>
      </c>
      <c r="B339" s="91" t="s">
        <v>242</v>
      </c>
      <c r="C339" s="11"/>
      <c r="D339" s="11" t="s">
        <v>834</v>
      </c>
      <c r="E339" s="92">
        <v>1.0</v>
      </c>
      <c r="F339" s="93">
        <v>46612.0</v>
      </c>
      <c r="G339" s="94">
        <f t="array" ref="G339">IF(E339=0,F339,INDEX(FECHAS,MATCH(INDEX(NLAB,MATCH(F339,FECHAS,0))+E339-1,NLAB,0)))</f>
        <v>46612</v>
      </c>
      <c r="H339" s="22" t="s">
        <v>835</v>
      </c>
      <c r="I339" s="11" t="s">
        <v>261</v>
      </c>
      <c r="J339" s="91" t="str">
        <f>IF(K339&gt;=1,"Completado",IF(G339&lt;FECHA_ESTADO,"Atrasado",IF(K339&gt;0,"En progreso","No iniciado")))</f>
        <v>No iniciado</v>
      </c>
      <c r="K339" s="95">
        <v>0.0</v>
      </c>
      <c r="L339" s="91">
        <f t="array" ref="L339">MIN(INDEX(NLAB,MATCH($F$342,FECHAS,0))-1,INDEX(NLAB,MATCH($F$350,FECHAS,0))-1,INDEX(NLAB,MATCH($F$352,FECHAS,0))-1,INDEX(NLAB,MATCH($F$354,FECHAS,0))-1,INDEX(NLAB,MATCH(DATE(2027,8,13),FECHAS,0)))-INDEX(NLAB,MATCH(G339,FECHAS,0))</f>
        <v>0</v>
      </c>
      <c r="M339" s="91">
        <v>0.0</v>
      </c>
      <c r="N339" s="91" t="str">
        <f t="shared" si="93"/>
        <v>Sí</v>
      </c>
      <c r="BK339" s="41"/>
    </row>
    <row r="340" ht="15.75" hidden="1" customHeight="1" outlineLevel="1">
      <c r="A340" s="143" t="s">
        <v>238</v>
      </c>
      <c r="B340" s="143" t="s">
        <v>836</v>
      </c>
      <c r="C340" s="144" t="s">
        <v>837</v>
      </c>
      <c r="D340" s="144"/>
      <c r="E340" s="143">
        <f t="array" ref="E340">INDEX(NLAB,MATCH(G340,FECHAS,0))-INDEX(NLAB,MATCH(F340,FECHAS,0))+1</f>
        <v>13</v>
      </c>
      <c r="F340" s="145">
        <f>MIN(F341:F342)</f>
        <v>46601</v>
      </c>
      <c r="G340" s="145">
        <f>MAX(G341:G342)</f>
        <v>46616</v>
      </c>
      <c r="H340" s="146"/>
      <c r="I340" s="144"/>
      <c r="J340" s="143" t="str">
        <f>IF(K340&gt;=1,"Completado",IF(AND(G340&lt;FECHA_ESTADO,K340&lt;1),"Atrasado",IF(K340&gt;0,"En progreso","No iniciado")))</f>
        <v>No iniciado</v>
      </c>
      <c r="K340" s="147">
        <f>IFERROR(SUMPRODUCT(--(C341:C342=""),E341:E342,K341:K342)/SUMPRODUCT(--(C341:C342=""),E341:E342),0)</f>
        <v>0</v>
      </c>
      <c r="L340" s="143"/>
      <c r="M340" s="143"/>
      <c r="N340" s="143"/>
      <c r="BJ340" s="41"/>
      <c r="BK340" s="41"/>
      <c r="BL340" s="41"/>
    </row>
    <row r="341" ht="27.0" hidden="1" customHeight="1" outlineLevel="2">
      <c r="A341" s="91" t="s">
        <v>238</v>
      </c>
      <c r="B341" s="91" t="s">
        <v>838</v>
      </c>
      <c r="C341" s="11"/>
      <c r="D341" s="11" t="s">
        <v>839</v>
      </c>
      <c r="E341" s="92">
        <v>5.0</v>
      </c>
      <c r="F341" s="94">
        <f t="array" ref="F341">INDEX(FECHAS,MATCH(INDEX(NLAB,MATCH($G$304,FECHAS,0))+1,NLAB,0))</f>
        <v>46601</v>
      </c>
      <c r="G341" s="94">
        <f t="array" ref="G341">IF(E341=0,F341,INDEX(FECHAS,MATCH(INDEX(NLAB,MATCH(F341,FECHAS,0))+E341-1,NLAB,0)))</f>
        <v>46606</v>
      </c>
      <c r="H341" s="22" t="s">
        <v>216</v>
      </c>
      <c r="I341" s="11" t="s">
        <v>840</v>
      </c>
      <c r="J341" s="91" t="str">
        <f>IF(K341&gt;=1,"Completado",IF(G341&lt;FECHA_ESTADO,"Atrasado",IF(K341&gt;0,"En progreso","No iniciado")))</f>
        <v>No iniciado</v>
      </c>
      <c r="K341" s="95">
        <v>0.0</v>
      </c>
      <c r="L341" s="91">
        <f t="array" ref="L341">INDEX(NLAB,MATCH($F$342,FECHAS,0))-1-INDEX(NLAB,MATCH(G341,FECHAS,0))</f>
        <v>5</v>
      </c>
      <c r="M341" s="91">
        <v>7.0</v>
      </c>
      <c r="N341" s="91" t="str">
        <f t="shared" ref="N341:N342" si="94">IF(M341&lt;=0,"Sí","No")</f>
        <v>No</v>
      </c>
      <c r="BJ341" s="41"/>
    </row>
    <row r="342" ht="27.0" hidden="1" customHeight="1" outlineLevel="2">
      <c r="A342" s="91" t="s">
        <v>238</v>
      </c>
      <c r="B342" s="91" t="s">
        <v>841</v>
      </c>
      <c r="C342" s="11"/>
      <c r="D342" s="11" t="s">
        <v>842</v>
      </c>
      <c r="E342" s="92">
        <v>3.0</v>
      </c>
      <c r="F342" s="94">
        <f t="array" ref="F342">INDEX(FECHAS,MATCH(INDEX(NLAB,MATCH(MAX($G$339,$G$341),FECHAS,0))+1,NLAB,0))</f>
        <v>46613</v>
      </c>
      <c r="G342" s="94">
        <f t="array" ref="G342">IF(E342=0,F342,INDEX(FECHAS,MATCH(INDEX(NLAB,MATCH(F342,FECHAS,0))+E342-1,NLAB,0)))</f>
        <v>46616</v>
      </c>
      <c r="H342" s="22" t="s">
        <v>843</v>
      </c>
      <c r="I342" s="11" t="s">
        <v>266</v>
      </c>
      <c r="J342" s="91" t="str">
        <f>IF(K342&gt;=1,"Completado",IF(G342&lt;FECHA_ESTADO,"Atrasado",IF(K342&gt;0,"En progreso","No iniciado")))</f>
        <v>No iniciado</v>
      </c>
      <c r="K342" s="95">
        <v>0.0</v>
      </c>
      <c r="L342" s="91">
        <f t="array" ref="L342">INDEX(NLAB,MATCH($F$350,FECHAS,0))-1-INDEX(NLAB,MATCH(G342,FECHAS,0))</f>
        <v>2</v>
      </c>
      <c r="M342" s="91">
        <v>2.0</v>
      </c>
      <c r="N342" s="91" t="str">
        <f t="shared" si="94"/>
        <v>No</v>
      </c>
      <c r="BK342" s="41"/>
      <c r="BL342" s="41"/>
    </row>
    <row r="343" ht="27.0" hidden="1" customHeight="1" outlineLevel="1">
      <c r="A343" s="143" t="s">
        <v>238</v>
      </c>
      <c r="B343" s="143" t="s">
        <v>844</v>
      </c>
      <c r="C343" s="144" t="s">
        <v>845</v>
      </c>
      <c r="D343" s="144"/>
      <c r="E343" s="143">
        <f t="array" ref="E343">INDEX(NLAB,MATCH(G343,FECHAS,0))-INDEX(NLAB,MATCH(F343,FECHAS,0))+1</f>
        <v>8</v>
      </c>
      <c r="F343" s="145">
        <f>MIN(F344:F346)</f>
        <v>46602</v>
      </c>
      <c r="G343" s="145">
        <f>MAX(G344:G346)</f>
        <v>46611</v>
      </c>
      <c r="H343" s="146"/>
      <c r="I343" s="144"/>
      <c r="J343" s="143" t="str">
        <f>IF(K343&gt;=1,"Completado",IF(AND(G343&lt;FECHA_ESTADO,K343&lt;1),"Atrasado",IF(K343&gt;0,"En progreso","No iniciado")))</f>
        <v>No iniciado</v>
      </c>
      <c r="K343" s="147">
        <f>IFERROR(SUMPRODUCT(--(C344:C346=""),E344:E346,K344:K346)/SUMPRODUCT(--(C344:C346=""),E344:E346),0)</f>
        <v>0</v>
      </c>
      <c r="L343" s="143"/>
      <c r="M343" s="143"/>
      <c r="N343" s="143"/>
      <c r="BJ343" s="41"/>
      <c r="BK343" s="41"/>
    </row>
    <row r="344" ht="15.75" hidden="1" customHeight="1" outlineLevel="2">
      <c r="A344" s="91" t="s">
        <v>238</v>
      </c>
      <c r="B344" s="91" t="s">
        <v>846</v>
      </c>
      <c r="C344" s="11"/>
      <c r="D344" s="11" t="s">
        <v>847</v>
      </c>
      <c r="E344" s="92">
        <v>4.0</v>
      </c>
      <c r="F344" s="94">
        <f t="array" ref="F344">INDEX(FECHAS,MATCH(INDEX(NLAB,MATCH($G$309,FECHAS,0))+1,NLAB,0))</f>
        <v>46602</v>
      </c>
      <c r="G344" s="94">
        <f t="array" ref="G344">IF(E344=0,F344,INDEX(FECHAS,MATCH(INDEX(NLAB,MATCH(F344,FECHAS,0))+E344-1,NLAB,0)))</f>
        <v>46606</v>
      </c>
      <c r="H344" s="22" t="s">
        <v>776</v>
      </c>
      <c r="I344" s="11" t="s">
        <v>335</v>
      </c>
      <c r="J344" s="91" t="str">
        <f>IF(K344&gt;=1,"Completado",IF(G344&lt;FECHA_ESTADO,"Atrasado",IF(K344&gt;0,"En progreso","No iniciado")))</f>
        <v>No iniciado</v>
      </c>
      <c r="K344" s="95">
        <v>0.0</v>
      </c>
      <c r="L344" s="91">
        <f t="array" ref="L344">INDEX(NLAB,MATCH($F$345,FECHAS,0))-1-INDEX(NLAB,MATCH(G344,FECHAS,0))</f>
        <v>0</v>
      </c>
      <c r="M344" s="91">
        <v>5.0</v>
      </c>
      <c r="N344" s="91" t="str">
        <f t="shared" ref="N344:N346" si="95">IF(M344&lt;=0,"Sí","No")</f>
        <v>No</v>
      </c>
      <c r="BJ344" s="41"/>
    </row>
    <row r="345" ht="15.75" hidden="1" customHeight="1" outlineLevel="2">
      <c r="A345" s="91" t="s">
        <v>238</v>
      </c>
      <c r="B345" s="91" t="s">
        <v>848</v>
      </c>
      <c r="C345" s="11"/>
      <c r="D345" s="11" t="s">
        <v>849</v>
      </c>
      <c r="E345" s="92">
        <v>1.0</v>
      </c>
      <c r="F345" s="94">
        <f t="array" ref="F345">INDEX(FECHAS,MATCH(INDEX(NLAB,MATCH($G$344,FECHAS,0))+1,NLAB,0))</f>
        <v>46608</v>
      </c>
      <c r="G345" s="94">
        <f t="array" ref="G345">IF(E345=0,F345,INDEX(FECHAS,MATCH(INDEX(NLAB,MATCH(F345,FECHAS,0))+E345-1,NLAB,0)))</f>
        <v>46608</v>
      </c>
      <c r="H345" s="22" t="s">
        <v>846</v>
      </c>
      <c r="I345" s="11" t="s">
        <v>499</v>
      </c>
      <c r="J345" s="91" t="str">
        <f>IF(K345&gt;=1,"Completado",IF(G345&lt;FECHA_ESTADO,"Atrasado",IF(K345&gt;0,"En progreso","No iniciado")))</f>
        <v>No iniciado</v>
      </c>
      <c r="K345" s="95">
        <v>0.0</v>
      </c>
      <c r="L345" s="91">
        <f t="array" ref="L345">MIN(INDEX(NLAB,MATCH($F$346,FECHAS,0))-1,INDEX(NLAB,MATCH($F$354,FECHAS,0))-1)-INDEX(NLAB,MATCH(G345,FECHAS,0))</f>
        <v>0</v>
      </c>
      <c r="M345" s="91">
        <v>5.0</v>
      </c>
      <c r="N345" s="91" t="str">
        <f t="shared" si="95"/>
        <v>No</v>
      </c>
      <c r="BK345" s="41"/>
    </row>
    <row r="346" ht="15.75" hidden="1" customHeight="1" outlineLevel="2">
      <c r="A346" s="91" t="s">
        <v>238</v>
      </c>
      <c r="B346" s="91" t="s">
        <v>850</v>
      </c>
      <c r="C346" s="11"/>
      <c r="D346" s="11" t="s">
        <v>851</v>
      </c>
      <c r="E346" s="92">
        <v>3.0</v>
      </c>
      <c r="F346" s="94">
        <f t="array" ref="F346">INDEX(FECHAS,MATCH(INDEX(NLAB,MATCH($G$345,FECHAS,0))+1,NLAB,0))</f>
        <v>46609</v>
      </c>
      <c r="G346" s="94">
        <f t="array" ref="G346">IF(E346=0,F346,INDEX(FECHAS,MATCH(INDEX(NLAB,MATCH(F346,FECHAS,0))+E346-1,NLAB,0)))</f>
        <v>46611</v>
      </c>
      <c r="H346" s="22" t="s">
        <v>848</v>
      </c>
      <c r="I346" s="11" t="s">
        <v>338</v>
      </c>
      <c r="J346" s="91" t="str">
        <f>IF(K346&gt;=1,"Completado",IF(G346&lt;FECHA_ESTADO,"Atrasado",IF(K346&gt;0,"En progreso","No iniciado")))</f>
        <v>No iniciado</v>
      </c>
      <c r="K346" s="95">
        <v>0.0</v>
      </c>
      <c r="L346" s="91">
        <f t="array" ref="L346">INDEX(NLAB,MATCH($F$350,FECHAS,0))-1-INDEX(NLAB,MATCH(G346,FECHAS,0))</f>
        <v>6</v>
      </c>
      <c r="M346" s="91">
        <v>6.0</v>
      </c>
      <c r="N346" s="91" t="str">
        <f t="shared" si="95"/>
        <v>No</v>
      </c>
      <c r="BK346" s="41"/>
    </row>
    <row r="347" ht="15.75" hidden="1" customHeight="1" outlineLevel="1">
      <c r="A347" s="143" t="s">
        <v>238</v>
      </c>
      <c r="B347" s="143" t="s">
        <v>852</v>
      </c>
      <c r="C347" s="144" t="s">
        <v>853</v>
      </c>
      <c r="D347" s="144"/>
      <c r="E347" s="143">
        <f t="array" ref="E347">INDEX(NLAB,MATCH(G347,FECHAS,0))-INDEX(NLAB,MATCH(F347,FECHAS,0))+1</f>
        <v>16</v>
      </c>
      <c r="F347" s="145">
        <f>MIN(F348:F350)</f>
        <v>46601</v>
      </c>
      <c r="G347" s="145">
        <f>MAX(G348:G350)</f>
        <v>46619</v>
      </c>
      <c r="H347" s="146"/>
      <c r="I347" s="144"/>
      <c r="J347" s="143" t="str">
        <f>IF(K347&gt;=1,"Completado",IF(AND(G347&lt;FECHA_ESTADO,K347&lt;1),"Atrasado",IF(K347&gt;0,"En progreso","No iniciado")))</f>
        <v>No iniciado</v>
      </c>
      <c r="K347" s="147">
        <f>IFERROR(SUMPRODUCT(--(C348:C350=""),E348:E350,K348:K350)/SUMPRODUCT(--(C348:C350=""),E348:E350),0)</f>
        <v>0</v>
      </c>
      <c r="L347" s="143"/>
      <c r="M347" s="143"/>
      <c r="N347" s="143"/>
      <c r="BJ347" s="41"/>
      <c r="BK347" s="41"/>
      <c r="BL347" s="41"/>
    </row>
    <row r="348" ht="27.0" hidden="1" customHeight="1" outlineLevel="2">
      <c r="A348" s="91" t="s">
        <v>238</v>
      </c>
      <c r="B348" s="91" t="s">
        <v>854</v>
      </c>
      <c r="C348" s="11"/>
      <c r="D348" s="11" t="s">
        <v>855</v>
      </c>
      <c r="E348" s="92">
        <v>4.0</v>
      </c>
      <c r="F348" s="94">
        <f t="array" ref="F348">INDEX(FECHAS,MATCH(INDEX(NLAB,MATCH($G$304,FECHAS,0))+1,NLAB,0))</f>
        <v>46601</v>
      </c>
      <c r="G348" s="94">
        <f t="array" ref="G348">IF(E348=0,F348,INDEX(FECHAS,MATCH(INDEX(NLAB,MATCH(F348,FECHAS,0))+E348-1,NLAB,0)))</f>
        <v>46604</v>
      </c>
      <c r="H348" s="22" t="s">
        <v>216</v>
      </c>
      <c r="I348" s="11" t="s">
        <v>330</v>
      </c>
      <c r="J348" s="91" t="str">
        <f>IF(K348&gt;=1,"Completado",IF(G348&lt;FECHA_ESTADO,"Atrasado",IF(K348&gt;0,"En progreso","No iniciado")))</f>
        <v>No iniciado</v>
      </c>
      <c r="K348" s="95">
        <v>0.0</v>
      </c>
      <c r="L348" s="91">
        <f t="array" ref="L348">INDEX(NLAB,MATCH($F$349,FECHAS,0))-1-INDEX(NLAB,MATCH(G348,FECHAS,0))</f>
        <v>0</v>
      </c>
      <c r="M348" s="91">
        <v>2.0</v>
      </c>
      <c r="N348" s="91" t="str">
        <f t="shared" ref="N348:N350" si="96">IF(M348&lt;=0,"Sí","No")</f>
        <v>No</v>
      </c>
      <c r="BJ348" s="41"/>
    </row>
    <row r="349" ht="27.0" hidden="1" customHeight="1" outlineLevel="2">
      <c r="A349" s="91" t="s">
        <v>238</v>
      </c>
      <c r="B349" s="91" t="s">
        <v>856</v>
      </c>
      <c r="C349" s="11"/>
      <c r="D349" s="11" t="s">
        <v>857</v>
      </c>
      <c r="E349" s="92">
        <v>3.0</v>
      </c>
      <c r="F349" s="94">
        <f t="array" ref="F349">INDEX(FECHAS,MATCH(INDEX(NLAB,MATCH(MAX($G$348,$G$335),FECHAS,0))+1,NLAB,0))</f>
        <v>46606</v>
      </c>
      <c r="G349" s="94">
        <f t="array" ref="G349">IF(E349=0,F349,INDEX(FECHAS,MATCH(INDEX(NLAB,MATCH(F349,FECHAS,0))+E349-1,NLAB,0)))</f>
        <v>46609</v>
      </c>
      <c r="H349" s="22" t="s">
        <v>858</v>
      </c>
      <c r="I349" s="11" t="s">
        <v>330</v>
      </c>
      <c r="J349" s="91" t="str">
        <f>IF(K349&gt;=1,"Completado",IF(G349&lt;FECHA_ESTADO,"Atrasado",IF(K349&gt;0,"En progreso","No iniciado")))</f>
        <v>No iniciado</v>
      </c>
      <c r="K349" s="95">
        <v>0.0</v>
      </c>
      <c r="L349" s="91">
        <f t="array" ref="L349">INDEX(NLAB,MATCH($F$339,FECHAS,0))-1-INDEX(NLAB,MATCH(G349,FECHAS,0))</f>
        <v>2</v>
      </c>
      <c r="M349" s="91">
        <v>2.0</v>
      </c>
      <c r="N349" s="91" t="str">
        <f t="shared" si="96"/>
        <v>No</v>
      </c>
      <c r="BJ349" s="41"/>
      <c r="BK349" s="41"/>
    </row>
    <row r="350" ht="27.0" hidden="1" customHeight="1" outlineLevel="2">
      <c r="A350" s="91" t="s">
        <v>238</v>
      </c>
      <c r="B350" s="91" t="s">
        <v>246</v>
      </c>
      <c r="C350" s="11"/>
      <c r="D350" s="11" t="s">
        <v>859</v>
      </c>
      <c r="E350" s="92">
        <v>1.0</v>
      </c>
      <c r="F350" s="93">
        <v>46619.0</v>
      </c>
      <c r="G350" s="94">
        <f t="array" ref="G350">IF(E350=0,F350,INDEX(FECHAS,MATCH(INDEX(NLAB,MATCH(F350,FECHAS,0))+E350-1,NLAB,0)))</f>
        <v>46619</v>
      </c>
      <c r="H350" s="22" t="s">
        <v>860</v>
      </c>
      <c r="I350" s="11" t="s">
        <v>253</v>
      </c>
      <c r="J350" s="91" t="str">
        <f>IF(K350&gt;=1,"Completado",IF(G350&lt;FECHA_ESTADO,"Atrasado",IF(K350&gt;0,"En progreso","No iniciado")))</f>
        <v>No iniciado</v>
      </c>
      <c r="K350" s="95">
        <v>0.0</v>
      </c>
      <c r="L350" s="91">
        <f t="array" ref="L350">INDEX(NLAB,MATCH(DATE(2027,8,20),FECHAS,0))-INDEX(NLAB,MATCH(G350,FECHAS,0))</f>
        <v>0</v>
      </c>
      <c r="M350" s="91">
        <v>0.0</v>
      </c>
      <c r="N350" s="91" t="str">
        <f t="shared" si="96"/>
        <v>Sí</v>
      </c>
      <c r="BL350" s="41"/>
    </row>
    <row r="351" ht="15.75" hidden="1" customHeight="1" outlineLevel="1">
      <c r="A351" s="143" t="s">
        <v>238</v>
      </c>
      <c r="B351" s="143" t="s">
        <v>861</v>
      </c>
      <c r="C351" s="144" t="s">
        <v>862</v>
      </c>
      <c r="D351" s="144"/>
      <c r="E351" s="143">
        <f t="array" ref="E351">INDEX(NLAB,MATCH(G351,FECHAS,0))-INDEX(NLAB,MATCH(F351,FECHAS,0))+1</f>
        <v>4</v>
      </c>
      <c r="F351" s="145">
        <f>MIN(F352)</f>
        <v>46613</v>
      </c>
      <c r="G351" s="145">
        <f>MAX(G352)</f>
        <v>46617</v>
      </c>
      <c r="H351" s="146"/>
      <c r="I351" s="144"/>
      <c r="J351" s="143" t="str">
        <f>IF(K351&gt;=1,"Completado",IF(AND(G351&lt;FECHA_ESTADO,K351&lt;1),"Atrasado",IF(K351&gt;0,"En progreso","No iniciado")))</f>
        <v>No iniciado</v>
      </c>
      <c r="K351" s="147">
        <f>IFERROR(SUMPRODUCT(--(C352=""),E352,K352)/SUMPRODUCT(--(C352=""),E352),0)</f>
        <v>0</v>
      </c>
      <c r="L351" s="143"/>
      <c r="M351" s="143"/>
      <c r="N351" s="143"/>
      <c r="BK351" s="41"/>
      <c r="BL351" s="41"/>
    </row>
    <row r="352" ht="27.0" hidden="1" customHeight="1" outlineLevel="2">
      <c r="A352" s="91" t="s">
        <v>238</v>
      </c>
      <c r="B352" s="91" t="s">
        <v>863</v>
      </c>
      <c r="C352" s="11"/>
      <c r="D352" s="11" t="s">
        <v>864</v>
      </c>
      <c r="E352" s="92">
        <v>4.0</v>
      </c>
      <c r="F352" s="94">
        <f t="array" ref="F352">INDEX(FECHAS,MATCH(INDEX(NLAB,MATCH($G$339,FECHAS,0))+1,NLAB,0))</f>
        <v>46613</v>
      </c>
      <c r="G352" s="94">
        <f t="array" ref="G352">IF(E352=0,F352,INDEX(FECHAS,MATCH(INDEX(NLAB,MATCH(F352,FECHAS,0))+E352-1,NLAB,0)))</f>
        <v>46617</v>
      </c>
      <c r="H352" s="22" t="s">
        <v>242</v>
      </c>
      <c r="I352" s="11" t="s">
        <v>865</v>
      </c>
      <c r="J352" s="91" t="str">
        <f>IF(K352&gt;=1,"Completado",IF(G352&lt;FECHA_ESTADO,"Atrasado",IF(K352&gt;0,"En progreso","No iniciado")))</f>
        <v>No iniciado</v>
      </c>
      <c r="K352" s="95">
        <v>0.0</v>
      </c>
      <c r="L352" s="91">
        <f t="array" ref="L352">INDEX(NLAB,MATCH($F$350,FECHAS,0))-1-INDEX(NLAB,MATCH(G352,FECHAS,0))</f>
        <v>1</v>
      </c>
      <c r="M352" s="91">
        <v>1.0</v>
      </c>
      <c r="N352" s="91" t="str">
        <f>IF(M352&lt;=0,"Sí","No")</f>
        <v>No</v>
      </c>
      <c r="BK352" s="41"/>
      <c r="BL352" s="41"/>
    </row>
    <row r="353" ht="15.75" hidden="1" customHeight="1" outlineLevel="1">
      <c r="A353" s="143" t="s">
        <v>238</v>
      </c>
      <c r="B353" s="143" t="s">
        <v>866</v>
      </c>
      <c r="C353" s="144" t="s">
        <v>867</v>
      </c>
      <c r="D353" s="144"/>
      <c r="E353" s="143">
        <f t="array" ref="E353">INDEX(NLAB,MATCH(G353,FECHAS,0))-INDEX(NLAB,MATCH(F353,FECHAS,0))+1</f>
        <v>4</v>
      </c>
      <c r="F353" s="145">
        <f>MIN(F354)</f>
        <v>46613</v>
      </c>
      <c r="G353" s="145">
        <f>MAX(G354)</f>
        <v>46617</v>
      </c>
      <c r="H353" s="146"/>
      <c r="I353" s="144"/>
      <c r="J353" s="143" t="str">
        <f>IF(K353&gt;=1,"Completado",IF(AND(G353&lt;FECHA_ESTADO,K353&lt;1),"Atrasado",IF(K353&gt;0,"En progreso","No iniciado")))</f>
        <v>No iniciado</v>
      </c>
      <c r="K353" s="147">
        <f>IFERROR(SUMPRODUCT(--(C354=""),E354,K354)/SUMPRODUCT(--(C354=""),E354),0)</f>
        <v>0</v>
      </c>
      <c r="L353" s="143"/>
      <c r="M353" s="143"/>
      <c r="N353" s="143"/>
      <c r="BK353" s="41"/>
      <c r="BL353" s="41"/>
    </row>
    <row r="354" ht="27.0" customHeight="1" outlineLevel="2">
      <c r="A354" s="91" t="s">
        <v>238</v>
      </c>
      <c r="B354" s="91" t="s">
        <v>868</v>
      </c>
      <c r="C354" s="11"/>
      <c r="D354" s="11" t="s">
        <v>869</v>
      </c>
      <c r="E354" s="92">
        <v>4.0</v>
      </c>
      <c r="F354" s="94">
        <f t="array" ref="F354">INDEX(FECHAS,MATCH(INDEX(NLAB,MATCH(MAX($G$339,$G$345),FECHAS,0))+1,NLAB,0))</f>
        <v>46613</v>
      </c>
      <c r="G354" s="94">
        <f t="array" ref="G354">IF(E354=0,F354,INDEX(FECHAS,MATCH(INDEX(NLAB,MATCH(F354,FECHAS,0))+E354-1,NLAB,0)))</f>
        <v>46617</v>
      </c>
      <c r="H354" s="22" t="s">
        <v>870</v>
      </c>
      <c r="I354" s="11" t="s">
        <v>286</v>
      </c>
      <c r="J354" s="91" t="str">
        <f>IF(K354&gt;=1,"Completado",IF(G354&lt;FECHA_ESTADO,"Atrasado",IF(K354&gt;0,"En progreso","No iniciado")))</f>
        <v>No iniciado</v>
      </c>
      <c r="K354" s="95">
        <v>0.0</v>
      </c>
      <c r="L354" s="91">
        <f t="array" ref="L354">INDEX(NLAB,MATCH($F$350,FECHAS,0))-1-INDEX(NLAB,MATCH(G354,FECHAS,0))</f>
        <v>1</v>
      </c>
      <c r="M354" s="91">
        <v>1.0</v>
      </c>
      <c r="N354" s="91" t="str">
        <f>IF(M354&lt;=0,"Sí","No")</f>
        <v>No</v>
      </c>
      <c r="BK354" s="41"/>
      <c r="BL354" s="41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6:$N$354"/>
  <mergeCells count="14">
    <mergeCell ref="AS3:AV3"/>
    <mergeCell ref="AW3:BA3"/>
    <mergeCell ref="BB3:BE3"/>
    <mergeCell ref="BF3:BI3"/>
    <mergeCell ref="BJ3:BM3"/>
    <mergeCell ref="E4:G4"/>
    <mergeCell ref="J4:K4"/>
    <mergeCell ref="P3:R3"/>
    <mergeCell ref="S3:V3"/>
    <mergeCell ref="W3:AA3"/>
    <mergeCell ref="AB3:AE3"/>
    <mergeCell ref="AF3:AI3"/>
    <mergeCell ref="AJ3:AM3"/>
    <mergeCell ref="AN3:AR3"/>
  </mergeCells>
  <conditionalFormatting sqref="P7:BM7">
    <cfRule type="expression" dxfId="0" priority="1">
      <formula>AND(P$5&lt;=$G7,P$5+6&gt;=$F7)</formula>
    </cfRule>
  </conditionalFormatting>
  <conditionalFormatting sqref="P30:BM30">
    <cfRule type="expression" dxfId="1" priority="2">
      <formula>AND(P$5&lt;=$G30,P$5+6&gt;=$F30)</formula>
    </cfRule>
  </conditionalFormatting>
  <conditionalFormatting sqref="P31:BM31 P33:BM33 P36:BM36 P40:BM40">
    <cfRule type="expression" dxfId="2" priority="3">
      <formula>AND(P$5&lt;=$G31,P$5+6&gt;=$F31)</formula>
    </cfRule>
  </conditionalFormatting>
  <conditionalFormatting sqref="P43:BM43">
    <cfRule type="expression" dxfId="3" priority="4">
      <formula>AND(P$5&lt;=$G43,P$5+6&gt;=$F43)</formula>
    </cfRule>
  </conditionalFormatting>
  <conditionalFormatting sqref="P44:BM44 P48:BM48 P52:BM52 P55:BM55 P58:BM58 P61:BM61 P64:BM64 P67:BM67 P70:BM70">
    <cfRule type="expression" dxfId="4" priority="5">
      <formula>AND(P$5&lt;=$G44,P$5+6&gt;=$F44)</formula>
    </cfRule>
  </conditionalFormatting>
  <conditionalFormatting sqref="P73:BM73">
    <cfRule type="expression" dxfId="5" priority="6">
      <formula>AND(P$5&lt;=$G73,P$5+6&gt;=$F73)</formula>
    </cfRule>
  </conditionalFormatting>
  <conditionalFormatting sqref="P74:BM74 P75:BM75 P83:BM83 P86:BM86 P90:BM90 P91:BM91 P98:BM98 P104:BM104 P105:BM105 P106:BM106 P108:BM108 P110:BM110 P112:BM112 P118:BM118 P120:BM120 P123:BM123 P132:BM132 P134:BM134 P135:BM135 P136:BM136 P138:BM138 P140:BM140 P142:BM142 P148:BM148 P150:BM150 P153:BM153 P162:BM162 P164:BM164 P165:BM165 P166:BM166 P168:BM168 P170:BM170 P172:BM172 P178:BM178 P180:BM180 P183:BM183 P193:BM193 P195:BM195 P196:BM196 P197:BM197 P199:BM199 P201:BM201 P203:BM203 P208:BM208 P213:BM213 P215:BM215 P218:BM218 P220:BM220 P222:BM222 P223:BM223 P224:BM224 P226:BM226 P228:BM228 P230:BM230 P233:BM233 P236:BM236 P240:BM240 P242:BM242 P246:BM246 P248:BM248 P250:BM250 P251:BM251 P252:BM252 P254:BM254 P256:BM256 P258:BM258 P264:BM264 P269:BM269 P271:BM271 P274:BM274 P276:BM276 P278:BM278 P279:BM279 P280:BM280 P282:BM282 P284:BM284 P286:BM286 P292:BM292 P295:BM295 P301:BM301 P303:BM303 P306:BM306 P308:BM308">
    <cfRule type="expression" dxfId="6" priority="7">
      <formula>AND(P$5&lt;=$G74,P$5+6&gt;=$F74)</formula>
    </cfRule>
  </conditionalFormatting>
  <conditionalFormatting sqref="P310:BM310">
    <cfRule type="expression" dxfId="7" priority="8">
      <formula>AND(P$5&lt;=$G310,P$5+6&gt;=$F310)</formula>
    </cfRule>
  </conditionalFormatting>
  <conditionalFormatting sqref="P311:BM311 P314:BM314 P316:BM316 P317:BM317 P319:BM319 P321:BM321 P324:BM324 P327:BM327 P330:BM330 P333:BM333">
    <cfRule type="expression" dxfId="8" priority="9">
      <formula>AND(P$5&lt;=$G311,P$5+6&gt;=$F311)</formula>
    </cfRule>
  </conditionalFormatting>
  <conditionalFormatting sqref="P336:BM336">
    <cfRule type="expression" dxfId="9" priority="10">
      <formula>AND(P$5&lt;=$G336,P$5+6&gt;=$F336)</formula>
    </cfRule>
  </conditionalFormatting>
  <conditionalFormatting sqref="P337:BM337 P340:BM340 P343:BM343 P347:BM347 P351:BM351 P353:BM353">
    <cfRule type="expression" dxfId="10" priority="11">
      <formula>AND(P$5&lt;=$G337,P$5+6&gt;=$F337)</formula>
    </cfRule>
  </conditionalFormatting>
  <conditionalFormatting sqref="P82:BM82 P117:BM117 P119:BM119 P147:BM147 P149:BM149 P177:BM177 P179:BM179 P312:BM312 P315:BM315">
    <cfRule type="expression" dxfId="11" priority="12">
      <formula>AND(P$5&lt;=$G82,P$5+6&gt;=$F82)</formula>
    </cfRule>
  </conditionalFormatting>
  <conditionalFormatting sqref="P32:BM32 P34:BM34 P35:BM35 P37:BM37 P38:BM38 P39:BM39 P41:BM41 P42:BM42 P45:BM45 P46:BM46 P47:BM47 P49:BM49 P50:BM50 P51:BM51 P53:BM53 P54:BM54 P56:BM56 P57:BM57 P59:BM59 P60:BM60 P62:BM62 P63:BM63 P65:BM65 P66:BM66 P68:BM68 P69:BM69 P71:BM71 P72:BM72 P76:BM76 P77:BM77 P78:BM78 P79:BM79 P80:BM80 P81:BM81 P84:BM84 P85:BM85 P87:BM87 P88:BM88 P89:BM89 P92:BM92 P93:BM93 P94:BM94 P95:BM95 P96:BM96 P97:BM97 P99:BM99 P100:BM100 P101:BM101 P102:BM102 P103:BM103 P107:BM107 P109:BM109 P111:BM111 P113:BM113 P114:BM114 P115:BM115 P116:BM116 P121:BM121 P122:BM122 P124:BM124 P125:BM125 P126:BM126 P127:BM127 P128:BM128 P129:BM129 P130:BM130 P131:BM131 P133:BM133 P137:BM137 P139:BM139 P141:BM141 P143:BM143 P144:BM144 P145:BM145 P146:BM146 P151:BM151 P152:BM152 P154:BM154 P155:BM155 P156:BM156 P157:BM157 P158:BM158 P159:BM159 P160:BM160 P161:BM161 P163:BM163 P167:BM167 P169:BM169 P171:BM171 P173:BM173 P174:BM174 P175:BM175 P176:BM176 P181:BM181 P182:BM182 P184:BM184 P185:BM185 P186:BM186 P187:BM187 P188:BM188 P189:BM189 P190:BM190 P191:BM191 P192:BM192 P194:BM194 P198:BM198 P200:BM200 P202:BM202 P204:BM204 P205:BM205 P206:BM206 P207:BM207 P209:BM209 P210:BM210 P211:BM211 P212:BM212 P214:BM214 P216:BM216 P217:BM217 P219:BM219 P221:BM221 P225:BM225 P227:BM227 P229:BM229 P231:BM231 P232:BM232 P234:BM234 P235:BM235 P237:BM237 P238:BM238 P239:BM239 P241:BM241 P243:BM243 P244:BM244 P245:BM245 P247:BM247 P249:BM249 P253:BM253 P255:BM255 P257:BM257 P259:BM259 P260:BM260 P261:BM261 P262:BM262 P263:BM263 P265:BM265 P266:BM266 P267:BM267 P268:BM268 P270:BM270 P272:BM272 P273:BM273 P275:BM275 P277:BM277 P281:BM281 P283:BM283 P285:BM285 P287:BM287 P288:BM288 P289:BM289 P290:BM290 P291:BM291 P293:BM293 P294:BM294 P296:BM296 P297:BM297 P298:BM298 P299:BM299 P300:BM300 P302:BM302 P304:BM304 P305:BM305 P307:BM307 P309:BM309 P313:BM313 P318:BM318 P320:BM320 P322:BM322 P323:BM323 P325:BM325 P326:BM326 P328:BM328 P329:BM329 P331:BM331 P332:BM332 P334:BM334 P335:BM335 P338:BM338 P339:BM339 P341:BM341 P342:BM342 P344:BM344 P345:BM345 P346:BM346 P348:BM348 P349:BM349 P350:BM350 P352:BM352 P354:BM354">
    <cfRule type="expression" dxfId="12" priority="13">
      <formula>AND(AND(P$5&lt;=$G32,P$5+6&gt;=$F32),$N32="Sí")</formula>
    </cfRule>
  </conditionalFormatting>
  <conditionalFormatting sqref="P32:BM32 P34:BM34 P35:BM35 P37:BM37 P38:BM38 P39:BM39 P41:BM41 P42:BM42 P45:BM45 P46:BM46 P47:BM47 P49:BM49 P50:BM50 P51:BM51 P53:BM53 P54:BM54 P56:BM56 P57:BM57 P59:BM59 P60:BM60 P62:BM62 P63:BM63 P65:BM65 P66:BM66 P68:BM68 P69:BM69 P71:BM71 P72:BM72 P76:BM76 P77:BM77 P78:BM78 P79:BM79 P80:BM80 P81:BM81 P84:BM84 P85:BM85 P87:BM87 P88:BM88 P89:BM89 P92:BM92 P93:BM93 P94:BM94 P95:BM95 P96:BM96 P97:BM97 P99:BM99 P100:BM100 P101:BM101 P102:BM102 P103:BM103 P107:BM107 P109:BM109 P111:BM111 P113:BM113 P114:BM114 P115:BM115 P116:BM116 P121:BM121 P122:BM122 P124:BM124 P125:BM125 P126:BM126 P127:BM127 P128:BM128 P129:BM129 P130:BM130 P131:BM131 P133:BM133 P137:BM137 P139:BM139 P141:BM141 P143:BM143 P144:BM144 P145:BM145 P146:BM146 P151:BM151 P152:BM152 P154:BM154 P155:BM155 P156:BM156 P157:BM157 P158:BM158 P159:BM159 P160:BM160 P161:BM161 P163:BM163 P167:BM167 P169:BM169 P171:BM171 P173:BM173 P174:BM174 P175:BM175 P176:BM176 P181:BM181 P182:BM182 P184:BM184 P185:BM185 P186:BM186 P187:BM187 P188:BM188 P189:BM189 P190:BM190 P191:BM191 P192:BM192 P194:BM194 P198:BM198 P200:BM200 P202:BM202 P204:BM204 P205:BM205 P206:BM206 P207:BM207 P209:BM209 P210:BM210 P211:BM211 P212:BM212 P214:BM214 P216:BM216 P217:BM217 P219:BM219 P221:BM221 P225:BM225 P227:BM227 P229:BM229 P231:BM231 P232:BM232 P234:BM234 P235:BM235 P237:BM237 P238:BM238 P239:BM239 P241:BM241 P243:BM243 P244:BM244 P245:BM245 P247:BM247 P249:BM249 P253:BM253 P255:BM255 P257:BM257 P259:BM259 P260:BM260 P261:BM261 P262:BM262 P263:BM263 P265:BM265 P266:BM266 P267:BM267 P268:BM268 P270:BM270 P272:BM272 P273:BM273 P275:BM275 P277:BM277 P281:BM281 P283:BM283 P285:BM285 P287:BM287 P288:BM288 P289:BM289 P290:BM290 P291:BM291 P293:BM293 P294:BM294 P296:BM296 P297:BM297 P298:BM298 P299:BM299 P300:BM300 P302:BM302 P304:BM304 P305:BM305 P307:BM307 P309:BM309 P313:BM313 P318:BM318 P320:BM320 P322:BM322 P323:BM323 P325:BM325 P326:BM326 P328:BM328 P329:BM329 P331:BM331 P332:BM332 P334:BM334 P335:BM335 P338:BM338 P339:BM339 P341:BM341 P342:BM342 P344:BM344 P345:BM345 P346:BM346 P348:BM348 P349:BM349 P350:BM350 P352:BM352 P354:BM354">
    <cfRule type="expression" dxfId="13" priority="14">
      <formula>AND(P$5&lt;=$G32,P$5+6&gt;=$F32)</formula>
    </cfRule>
  </conditionalFormatting>
  <conditionalFormatting sqref="L7:L354">
    <cfRule type="cellIs" dxfId="14" priority="15" operator="lessThan">
      <formula>0</formula>
    </cfRule>
  </conditionalFormatting>
  <conditionalFormatting sqref="N7:N354">
    <cfRule type="cellIs" dxfId="15" priority="16" operator="equal">
      <formula>"Sí"</formula>
    </cfRule>
  </conditionalFormatting>
  <conditionalFormatting sqref="J7:J354">
    <cfRule type="cellIs" dxfId="16" priority="17" operator="equal">
      <formula>"Completado"</formula>
    </cfRule>
  </conditionalFormatting>
  <conditionalFormatting sqref="J7:J354">
    <cfRule type="cellIs" dxfId="16" priority="18" operator="equal">
      <formula>"Cumplido"</formula>
    </cfRule>
  </conditionalFormatting>
  <conditionalFormatting sqref="J7:J354">
    <cfRule type="cellIs" dxfId="17" priority="19" operator="equal">
      <formula>"En progreso"</formula>
    </cfRule>
  </conditionalFormatting>
  <conditionalFormatting sqref="J7:J354">
    <cfRule type="cellIs" dxfId="14" priority="20" operator="equal">
      <formula>"Atrasado"</formula>
    </cfRule>
  </conditionalFormatting>
  <conditionalFormatting sqref="J7:J354">
    <cfRule type="cellIs" dxfId="14" priority="21" operator="equal">
      <formula>"En riesgo"</formula>
    </cfRule>
  </conditionalFormatting>
  <dataValidations>
    <dataValidation type="decimal" allowBlank="1" sqref="K32 K34:K35 K37:K39 K41:K42 K45:K47 K49:K51 K53:K54 K56:K57 K59:K60 K62:K63 K65:K66 K68:K69 K71:K72 K76:K82 K84:K85 K87:K89 K92:K97 K99:K103 K107 K109 K111 K113:K117 K119 K121:K122 K124:K131 K133 K137 K139 K141 K143:K147 K149 K151:K152 K154:K161 K163 K167 K169 K171 K173:K177 K179 K181:K182 K184:K192 K194 K198 K200 K202 K204:K207 K209:K212 K214 K216:K217 K219 K221 K225 K227 K229 K231:K232 K234:K235 K237:K239 K241 K243:K245 K247 K249 K253 K255 K257 K259:K263 K265:K268 K270 K272:K273 K275 K277 K281 K283 K285 K287:K291 K293:K294 K296:K300 K302 K304:K305 K307 K309 K312:K313 K315 K318 K320 K322:K323 K325:K326 K328:K329 K331:K332 K334:K335 K338:K339 K341:K342 K344:K346 K348:K350 K352 K354">
      <formula1>0.0</formula1>
      <formula2>1.0</formula2>
    </dataValidation>
  </dataValidations>
  <printOptions/>
  <pageMargins bottom="1.0" footer="0.0" header="0.0" left="0.75" right="0.75" top="1.0"/>
  <pageSetup fitToHeight="0" paperSize="8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4"/>
  <cols>
    <col customWidth="1" min="1" max="1" width="14.0"/>
    <col customWidth="1" min="2" max="2" width="8.0"/>
    <col customWidth="1" min="3" max="4" width="12.0"/>
    <col customWidth="1" min="5" max="5" width="3.0"/>
    <col customWidth="1" min="6" max="6" width="13.0"/>
    <col customWidth="1" min="7" max="7" width="40.0"/>
    <col customWidth="1" min="8" max="26" width="8.71"/>
  </cols>
  <sheetData>
    <row r="1">
      <c r="A1" s="1" t="s">
        <v>0</v>
      </c>
    </row>
    <row r="3">
      <c r="A3" s="3" t="s">
        <v>3</v>
      </c>
      <c r="B3" s="4">
        <v>46279.0</v>
      </c>
    </row>
    <row r="4">
      <c r="A4" s="3" t="s">
        <v>7</v>
      </c>
      <c r="B4" s="4">
        <v>46619.0</v>
      </c>
    </row>
    <row r="5">
      <c r="A5" s="3" t="s">
        <v>8</v>
      </c>
      <c r="B5" s="9">
        <v>46291.0</v>
      </c>
      <c r="C5" s="12" t="s">
        <v>16</v>
      </c>
    </row>
    <row r="7">
      <c r="A7" s="14" t="s">
        <v>29</v>
      </c>
      <c r="B7" s="14" t="s">
        <v>30</v>
      </c>
      <c r="C7" s="14" t="s">
        <v>31</v>
      </c>
      <c r="D7" s="14" t="s">
        <v>32</v>
      </c>
      <c r="F7" s="16" t="s">
        <v>34</v>
      </c>
      <c r="G7" s="16" t="s">
        <v>35</v>
      </c>
    </row>
    <row r="8">
      <c r="A8" s="4">
        <v>46272.0</v>
      </c>
      <c r="B8" s="21" t="str">
        <f t="shared" ref="B8:B396" si="1">CHOOSE(WEEKDAY(A8),"dom","lun","mar","mié","jue","vie","sáb")</f>
        <v>lun</v>
      </c>
      <c r="C8" s="21">
        <f>IF(OR(WEEKDAY(A8)=1,COUNTIF(FERIADOS,A8)&gt;0),0,1)</f>
        <v>1</v>
      </c>
      <c r="D8" s="21">
        <f>C8</f>
        <v>1</v>
      </c>
      <c r="F8" s="4">
        <v>46303.0</v>
      </c>
      <c r="G8" s="23" t="s">
        <v>41</v>
      </c>
    </row>
    <row r="9">
      <c r="A9" s="24">
        <f t="shared" ref="A9:A396" si="2">A8+1</f>
        <v>46273</v>
      </c>
      <c r="B9" s="21" t="str">
        <f t="shared" si="1"/>
        <v>mar</v>
      </c>
      <c r="C9" s="21">
        <f>IF(OR(WEEKDAY(A9)=1,COUNTIF(FERIADOS,A9)&gt;0),0,1)</f>
        <v>1</v>
      </c>
      <c r="D9" s="21">
        <f t="shared" ref="D9:D396" si="3">D8+C9</f>
        <v>2</v>
      </c>
      <c r="F9" s="4">
        <v>46327.0</v>
      </c>
      <c r="G9" s="23" t="s">
        <v>46</v>
      </c>
    </row>
    <row r="10">
      <c r="A10" s="24">
        <f t="shared" si="2"/>
        <v>46274</v>
      </c>
      <c r="B10" s="21" t="str">
        <f t="shared" si="1"/>
        <v>mié</v>
      </c>
      <c r="C10" s="21">
        <f>IF(OR(WEEKDAY(A10)=1,COUNTIF(FERIADOS,A10)&gt;0),0,1)</f>
        <v>1</v>
      </c>
      <c r="D10" s="21">
        <f t="shared" si="3"/>
        <v>3</v>
      </c>
      <c r="F10" s="4">
        <v>46364.0</v>
      </c>
      <c r="G10" s="23" t="s">
        <v>49</v>
      </c>
    </row>
    <row r="11">
      <c r="A11" s="24">
        <f t="shared" si="2"/>
        <v>46275</v>
      </c>
      <c r="B11" s="21" t="str">
        <f t="shared" si="1"/>
        <v>jue</v>
      </c>
      <c r="C11" s="21">
        <f>IF(OR(WEEKDAY(A11)=1,COUNTIF(FERIADOS,A11)&gt;0),0,1)</f>
        <v>1</v>
      </c>
      <c r="D11" s="21">
        <f t="shared" si="3"/>
        <v>4</v>
      </c>
      <c r="F11" s="4">
        <v>46365.0</v>
      </c>
      <c r="G11" s="23" t="s">
        <v>53</v>
      </c>
    </row>
    <row r="12">
      <c r="A12" s="24">
        <f t="shared" si="2"/>
        <v>46276</v>
      </c>
      <c r="B12" s="21" t="str">
        <f t="shared" si="1"/>
        <v>vie</v>
      </c>
      <c r="C12" s="21">
        <f>IF(OR(WEEKDAY(A12)=1,COUNTIF(FERIADOS,A12)&gt;0),0,1)</f>
        <v>1</v>
      </c>
      <c r="D12" s="21">
        <f t="shared" si="3"/>
        <v>5</v>
      </c>
      <c r="F12" s="4">
        <v>46381.0</v>
      </c>
      <c r="G12" s="23" t="s">
        <v>55</v>
      </c>
    </row>
    <row r="13">
      <c r="A13" s="24">
        <f t="shared" si="2"/>
        <v>46277</v>
      </c>
      <c r="B13" s="21" t="str">
        <f t="shared" si="1"/>
        <v>sáb</v>
      </c>
      <c r="C13" s="21">
        <f>IF(OR(WEEKDAY(A13)=1,COUNTIF(FERIADOS,A13)&gt;0),0,1)</f>
        <v>1</v>
      </c>
      <c r="D13" s="21">
        <f t="shared" si="3"/>
        <v>6</v>
      </c>
      <c r="F13" s="4">
        <v>46388.0</v>
      </c>
      <c r="G13" s="23" t="s">
        <v>59</v>
      </c>
    </row>
    <row r="14">
      <c r="A14" s="24">
        <f t="shared" si="2"/>
        <v>46278</v>
      </c>
      <c r="B14" s="21" t="str">
        <f t="shared" si="1"/>
        <v>dom</v>
      </c>
      <c r="C14" s="21">
        <f>IF(OR(WEEKDAY(A14)=1,COUNTIF(FERIADOS,A14)&gt;0),0,1)</f>
        <v>0</v>
      </c>
      <c r="D14" s="21">
        <f t="shared" si="3"/>
        <v>6</v>
      </c>
      <c r="F14" s="4">
        <v>46471.0</v>
      </c>
      <c r="G14" s="23" t="s">
        <v>73</v>
      </c>
    </row>
    <row r="15">
      <c r="A15" s="24">
        <f t="shared" si="2"/>
        <v>46279</v>
      </c>
      <c r="B15" s="21" t="str">
        <f t="shared" si="1"/>
        <v>lun</v>
      </c>
      <c r="C15" s="21">
        <f>IF(OR(WEEKDAY(A15)=1,COUNTIF(FERIADOS,A15)&gt;0),0,1)</f>
        <v>1</v>
      </c>
      <c r="D15" s="21">
        <f t="shared" si="3"/>
        <v>7</v>
      </c>
      <c r="F15" s="4">
        <v>46472.0</v>
      </c>
      <c r="G15" s="23" t="s">
        <v>92</v>
      </c>
    </row>
    <row r="16">
      <c r="A16" s="24">
        <f t="shared" si="2"/>
        <v>46280</v>
      </c>
      <c r="B16" s="21" t="str">
        <f t="shared" si="1"/>
        <v>mar</v>
      </c>
      <c r="C16" s="21">
        <f>IF(OR(WEEKDAY(A16)=1,COUNTIF(FERIADOS,A16)&gt;0),0,1)</f>
        <v>1</v>
      </c>
      <c r="D16" s="21">
        <f t="shared" si="3"/>
        <v>8</v>
      </c>
      <c r="F16" s="4">
        <v>46508.0</v>
      </c>
      <c r="G16" s="23" t="s">
        <v>107</v>
      </c>
    </row>
    <row r="17">
      <c r="A17" s="24">
        <f t="shared" si="2"/>
        <v>46281</v>
      </c>
      <c r="B17" s="21" t="str">
        <f t="shared" si="1"/>
        <v>mié</v>
      </c>
      <c r="C17" s="21">
        <f>IF(OR(WEEKDAY(A17)=1,COUNTIF(FERIADOS,A17)&gt;0),0,1)</f>
        <v>1</v>
      </c>
      <c r="D17" s="21">
        <f t="shared" si="3"/>
        <v>9</v>
      </c>
      <c r="F17" s="4">
        <v>46545.0</v>
      </c>
      <c r="G17" s="23" t="s">
        <v>115</v>
      </c>
    </row>
    <row r="18">
      <c r="A18" s="24">
        <f t="shared" si="2"/>
        <v>46282</v>
      </c>
      <c r="B18" s="21" t="str">
        <f t="shared" si="1"/>
        <v>jue</v>
      </c>
      <c r="C18" s="21">
        <f>IF(OR(WEEKDAY(A18)=1,COUNTIF(FERIADOS,A18)&gt;0),0,1)</f>
        <v>1</v>
      </c>
      <c r="D18" s="21">
        <f t="shared" si="3"/>
        <v>10</v>
      </c>
      <c r="F18" s="4">
        <v>46567.0</v>
      </c>
      <c r="G18" s="23" t="s">
        <v>116</v>
      </c>
    </row>
    <row r="19">
      <c r="A19" s="24">
        <f t="shared" si="2"/>
        <v>46283</v>
      </c>
      <c r="B19" s="21" t="str">
        <f t="shared" si="1"/>
        <v>vie</v>
      </c>
      <c r="C19" s="21">
        <f>IF(OR(WEEKDAY(A19)=1,COUNTIF(FERIADOS,A19)&gt;0),0,1)</f>
        <v>1</v>
      </c>
      <c r="D19" s="21">
        <f t="shared" si="3"/>
        <v>11</v>
      </c>
      <c r="F19" s="4">
        <v>46591.0</v>
      </c>
      <c r="G19" s="23" t="s">
        <v>117</v>
      </c>
    </row>
    <row r="20">
      <c r="A20" s="24">
        <f t="shared" si="2"/>
        <v>46284</v>
      </c>
      <c r="B20" s="21" t="str">
        <f t="shared" si="1"/>
        <v>sáb</v>
      </c>
      <c r="C20" s="21">
        <f>IF(OR(WEEKDAY(A20)=1,COUNTIF(FERIADOS,A20)&gt;0),0,1)</f>
        <v>1</v>
      </c>
      <c r="D20" s="21">
        <f t="shared" si="3"/>
        <v>12</v>
      </c>
      <c r="F20" s="4">
        <v>46596.0</v>
      </c>
      <c r="G20" s="23" t="s">
        <v>118</v>
      </c>
    </row>
    <row r="21" ht="15.75" customHeight="1">
      <c r="A21" s="24">
        <f t="shared" si="2"/>
        <v>46285</v>
      </c>
      <c r="B21" s="21" t="str">
        <f t="shared" si="1"/>
        <v>dom</v>
      </c>
      <c r="C21" s="21">
        <f>IF(OR(WEEKDAY(A21)=1,COUNTIF(FERIADOS,A21)&gt;0),0,1)</f>
        <v>0</v>
      </c>
      <c r="D21" s="21">
        <f t="shared" si="3"/>
        <v>12</v>
      </c>
      <c r="F21" s="4">
        <v>46597.0</v>
      </c>
      <c r="G21" s="23" t="s">
        <v>118</v>
      </c>
    </row>
    <row r="22" ht="15.75" customHeight="1">
      <c r="A22" s="24">
        <f t="shared" si="2"/>
        <v>46286</v>
      </c>
      <c r="B22" s="21" t="str">
        <f t="shared" si="1"/>
        <v>lun</v>
      </c>
      <c r="C22" s="21">
        <f>IF(OR(WEEKDAY(A22)=1,COUNTIF(FERIADOS,A22)&gt;0),0,1)</f>
        <v>1</v>
      </c>
      <c r="D22" s="21">
        <f t="shared" si="3"/>
        <v>13</v>
      </c>
      <c r="F22" s="4">
        <v>46605.0</v>
      </c>
      <c r="G22" s="23" t="s">
        <v>119</v>
      </c>
    </row>
    <row r="23" ht="15.75" customHeight="1">
      <c r="A23" s="24">
        <f t="shared" si="2"/>
        <v>46287</v>
      </c>
      <c r="B23" s="21" t="str">
        <f t="shared" si="1"/>
        <v>mar</v>
      </c>
      <c r="C23" s="21">
        <f>IF(OR(WEEKDAY(A23)=1,COUNTIF(FERIADOS,A23)&gt;0),0,1)</f>
        <v>1</v>
      </c>
      <c r="D23" s="21">
        <f t="shared" si="3"/>
        <v>14</v>
      </c>
      <c r="F23" s="4">
        <v>46629.0</v>
      </c>
      <c r="G23" s="23" t="s">
        <v>121</v>
      </c>
    </row>
    <row r="24" ht="15.75" customHeight="1">
      <c r="A24" s="24">
        <f t="shared" si="2"/>
        <v>46288</v>
      </c>
      <c r="B24" s="21" t="str">
        <f t="shared" si="1"/>
        <v>mié</v>
      </c>
      <c r="C24" s="21">
        <f>IF(OR(WEEKDAY(A24)=1,COUNTIF(FERIADOS,A24)&gt;0),0,1)</f>
        <v>1</v>
      </c>
      <c r="D24" s="21">
        <f t="shared" si="3"/>
        <v>15</v>
      </c>
    </row>
    <row r="25" ht="15.75" customHeight="1">
      <c r="A25" s="24">
        <f t="shared" si="2"/>
        <v>46289</v>
      </c>
      <c r="B25" s="21" t="str">
        <f t="shared" si="1"/>
        <v>jue</v>
      </c>
      <c r="C25" s="21">
        <f>IF(OR(WEEKDAY(A25)=1,COUNTIF(FERIADOS,A25)&gt;0),0,1)</f>
        <v>1</v>
      </c>
      <c r="D25" s="21">
        <f t="shared" si="3"/>
        <v>16</v>
      </c>
    </row>
    <row r="26" ht="15.75" customHeight="1">
      <c r="A26" s="24">
        <f t="shared" si="2"/>
        <v>46290</v>
      </c>
      <c r="B26" s="21" t="str">
        <f t="shared" si="1"/>
        <v>vie</v>
      </c>
      <c r="C26" s="21">
        <f>IF(OR(WEEKDAY(A26)=1,COUNTIF(FERIADOS,A26)&gt;0),0,1)</f>
        <v>1</v>
      </c>
      <c r="D26" s="21">
        <f t="shared" si="3"/>
        <v>17</v>
      </c>
    </row>
    <row r="27" ht="15.75" customHeight="1">
      <c r="A27" s="24">
        <f t="shared" si="2"/>
        <v>46291</v>
      </c>
      <c r="B27" s="21" t="str">
        <f t="shared" si="1"/>
        <v>sáb</v>
      </c>
      <c r="C27" s="21">
        <f>IF(OR(WEEKDAY(A27)=1,COUNTIF(FERIADOS,A27)&gt;0),0,1)</f>
        <v>1</v>
      </c>
      <c r="D27" s="21">
        <f t="shared" si="3"/>
        <v>18</v>
      </c>
    </row>
    <row r="28" ht="15.75" customHeight="1">
      <c r="A28" s="24">
        <f t="shared" si="2"/>
        <v>46292</v>
      </c>
      <c r="B28" s="21" t="str">
        <f t="shared" si="1"/>
        <v>dom</v>
      </c>
      <c r="C28" s="21">
        <f>IF(OR(WEEKDAY(A28)=1,COUNTIF(FERIADOS,A28)&gt;0),0,1)</f>
        <v>0</v>
      </c>
      <c r="D28" s="21">
        <f t="shared" si="3"/>
        <v>18</v>
      </c>
    </row>
    <row r="29" ht="15.75" customHeight="1">
      <c r="A29" s="24">
        <f t="shared" si="2"/>
        <v>46293</v>
      </c>
      <c r="B29" s="21" t="str">
        <f t="shared" si="1"/>
        <v>lun</v>
      </c>
      <c r="C29" s="21">
        <f>IF(OR(WEEKDAY(A29)=1,COUNTIF(FERIADOS,A29)&gt;0),0,1)</f>
        <v>1</v>
      </c>
      <c r="D29" s="21">
        <f t="shared" si="3"/>
        <v>19</v>
      </c>
    </row>
    <row r="30" ht="15.75" customHeight="1">
      <c r="A30" s="24">
        <f t="shared" si="2"/>
        <v>46294</v>
      </c>
      <c r="B30" s="21" t="str">
        <f t="shared" si="1"/>
        <v>mar</v>
      </c>
      <c r="C30" s="21">
        <f>IF(OR(WEEKDAY(A30)=1,COUNTIF(FERIADOS,A30)&gt;0),0,1)</f>
        <v>1</v>
      </c>
      <c r="D30" s="21">
        <f t="shared" si="3"/>
        <v>20</v>
      </c>
    </row>
    <row r="31" ht="15.75" customHeight="1">
      <c r="A31" s="24">
        <f t="shared" si="2"/>
        <v>46295</v>
      </c>
      <c r="B31" s="21" t="str">
        <f t="shared" si="1"/>
        <v>mié</v>
      </c>
      <c r="C31" s="21">
        <f>IF(OR(WEEKDAY(A31)=1,COUNTIF(FERIADOS,A31)&gt;0),0,1)</f>
        <v>1</v>
      </c>
      <c r="D31" s="21">
        <f t="shared" si="3"/>
        <v>21</v>
      </c>
    </row>
    <row r="32" ht="15.75" customHeight="1">
      <c r="A32" s="24">
        <f t="shared" si="2"/>
        <v>46296</v>
      </c>
      <c r="B32" s="21" t="str">
        <f t="shared" si="1"/>
        <v>jue</v>
      </c>
      <c r="C32" s="21">
        <f>IF(OR(WEEKDAY(A32)=1,COUNTIF(FERIADOS,A32)&gt;0),0,1)</f>
        <v>1</v>
      </c>
      <c r="D32" s="21">
        <f t="shared" si="3"/>
        <v>22</v>
      </c>
    </row>
    <row r="33" ht="15.75" customHeight="1">
      <c r="A33" s="24">
        <f t="shared" si="2"/>
        <v>46297</v>
      </c>
      <c r="B33" s="21" t="str">
        <f t="shared" si="1"/>
        <v>vie</v>
      </c>
      <c r="C33" s="21">
        <f>IF(OR(WEEKDAY(A33)=1,COUNTIF(FERIADOS,A33)&gt;0),0,1)</f>
        <v>1</v>
      </c>
      <c r="D33" s="21">
        <f t="shared" si="3"/>
        <v>23</v>
      </c>
    </row>
    <row r="34" ht="15.75" customHeight="1">
      <c r="A34" s="24">
        <f t="shared" si="2"/>
        <v>46298</v>
      </c>
      <c r="B34" s="21" t="str">
        <f t="shared" si="1"/>
        <v>sáb</v>
      </c>
      <c r="C34" s="21">
        <f>IF(OR(WEEKDAY(A34)=1,COUNTIF(FERIADOS,A34)&gt;0),0,1)</f>
        <v>1</v>
      </c>
      <c r="D34" s="21">
        <f t="shared" si="3"/>
        <v>24</v>
      </c>
    </row>
    <row r="35" ht="15.75" customHeight="1">
      <c r="A35" s="24">
        <f t="shared" si="2"/>
        <v>46299</v>
      </c>
      <c r="B35" s="21" t="str">
        <f t="shared" si="1"/>
        <v>dom</v>
      </c>
      <c r="C35" s="21">
        <f>IF(OR(WEEKDAY(A35)=1,COUNTIF(FERIADOS,A35)&gt;0),0,1)</f>
        <v>0</v>
      </c>
      <c r="D35" s="21">
        <f t="shared" si="3"/>
        <v>24</v>
      </c>
    </row>
    <row r="36" ht="15.75" customHeight="1">
      <c r="A36" s="24">
        <f t="shared" si="2"/>
        <v>46300</v>
      </c>
      <c r="B36" s="21" t="str">
        <f t="shared" si="1"/>
        <v>lun</v>
      </c>
      <c r="C36" s="21">
        <f>IF(OR(WEEKDAY(A36)=1,COUNTIF(FERIADOS,A36)&gt;0),0,1)</f>
        <v>1</v>
      </c>
      <c r="D36" s="21">
        <f t="shared" si="3"/>
        <v>25</v>
      </c>
    </row>
    <row r="37" ht="15.75" customHeight="1">
      <c r="A37" s="24">
        <f t="shared" si="2"/>
        <v>46301</v>
      </c>
      <c r="B37" s="21" t="str">
        <f t="shared" si="1"/>
        <v>mar</v>
      </c>
      <c r="C37" s="21">
        <f>IF(OR(WEEKDAY(A37)=1,COUNTIF(FERIADOS,A37)&gt;0),0,1)</f>
        <v>1</v>
      </c>
      <c r="D37" s="21">
        <f t="shared" si="3"/>
        <v>26</v>
      </c>
    </row>
    <row r="38" ht="15.75" customHeight="1">
      <c r="A38" s="24">
        <f t="shared" si="2"/>
        <v>46302</v>
      </c>
      <c r="B38" s="21" t="str">
        <f t="shared" si="1"/>
        <v>mié</v>
      </c>
      <c r="C38" s="21">
        <f>IF(OR(WEEKDAY(A38)=1,COUNTIF(FERIADOS,A38)&gt;0),0,1)</f>
        <v>1</v>
      </c>
      <c r="D38" s="21">
        <f t="shared" si="3"/>
        <v>27</v>
      </c>
      <c r="F38" s="12" t="s">
        <v>140</v>
      </c>
    </row>
    <row r="39" ht="15.75" customHeight="1">
      <c r="A39" s="24">
        <f t="shared" si="2"/>
        <v>46303</v>
      </c>
      <c r="B39" s="21" t="str">
        <f t="shared" si="1"/>
        <v>jue</v>
      </c>
      <c r="C39" s="21">
        <f>IF(OR(WEEKDAY(A39)=1,COUNTIF(FERIADOS,A39)&gt;0),0,1)</f>
        <v>0</v>
      </c>
      <c r="D39" s="21">
        <f t="shared" si="3"/>
        <v>27</v>
      </c>
    </row>
    <row r="40" ht="15.75" customHeight="1">
      <c r="A40" s="24">
        <f t="shared" si="2"/>
        <v>46304</v>
      </c>
      <c r="B40" s="21" t="str">
        <f t="shared" si="1"/>
        <v>vie</v>
      </c>
      <c r="C40" s="21">
        <f>IF(OR(WEEKDAY(A40)=1,COUNTIF(FERIADOS,A40)&gt;0),0,1)</f>
        <v>1</v>
      </c>
      <c r="D40" s="21">
        <f t="shared" si="3"/>
        <v>28</v>
      </c>
    </row>
    <row r="41" ht="15.75" customHeight="1">
      <c r="A41" s="24">
        <f t="shared" si="2"/>
        <v>46305</v>
      </c>
      <c r="B41" s="21" t="str">
        <f t="shared" si="1"/>
        <v>sáb</v>
      </c>
      <c r="C41" s="21">
        <f>IF(OR(WEEKDAY(A41)=1,COUNTIF(FERIADOS,A41)&gt;0),0,1)</f>
        <v>1</v>
      </c>
      <c r="D41" s="21">
        <f t="shared" si="3"/>
        <v>29</v>
      </c>
    </row>
    <row r="42" ht="15.75" customHeight="1">
      <c r="A42" s="24">
        <f t="shared" si="2"/>
        <v>46306</v>
      </c>
      <c r="B42" s="21" t="str">
        <f t="shared" si="1"/>
        <v>dom</v>
      </c>
      <c r="C42" s="21">
        <f>IF(OR(WEEKDAY(A42)=1,COUNTIF(FERIADOS,A42)&gt;0),0,1)</f>
        <v>0</v>
      </c>
      <c r="D42" s="21">
        <f t="shared" si="3"/>
        <v>29</v>
      </c>
    </row>
    <row r="43" ht="15.75" customHeight="1">
      <c r="A43" s="24">
        <f t="shared" si="2"/>
        <v>46307</v>
      </c>
      <c r="B43" s="21" t="str">
        <f t="shared" si="1"/>
        <v>lun</v>
      </c>
      <c r="C43" s="21">
        <f>IF(OR(WEEKDAY(A43)=1,COUNTIF(FERIADOS,A43)&gt;0),0,1)</f>
        <v>1</v>
      </c>
      <c r="D43" s="21">
        <f t="shared" si="3"/>
        <v>30</v>
      </c>
    </row>
    <row r="44" ht="15.75" customHeight="1">
      <c r="A44" s="24">
        <f t="shared" si="2"/>
        <v>46308</v>
      </c>
      <c r="B44" s="21" t="str">
        <f t="shared" si="1"/>
        <v>mar</v>
      </c>
      <c r="C44" s="21">
        <f>IF(OR(WEEKDAY(A44)=1,COUNTIF(FERIADOS,A44)&gt;0),0,1)</f>
        <v>1</v>
      </c>
      <c r="D44" s="21">
        <f t="shared" si="3"/>
        <v>31</v>
      </c>
    </row>
    <row r="45" ht="15.75" customHeight="1">
      <c r="A45" s="24">
        <f t="shared" si="2"/>
        <v>46309</v>
      </c>
      <c r="B45" s="21" t="str">
        <f t="shared" si="1"/>
        <v>mié</v>
      </c>
      <c r="C45" s="21">
        <f>IF(OR(WEEKDAY(A45)=1,COUNTIF(FERIADOS,A45)&gt;0),0,1)</f>
        <v>1</v>
      </c>
      <c r="D45" s="21">
        <f t="shared" si="3"/>
        <v>32</v>
      </c>
    </row>
    <row r="46" ht="15.75" customHeight="1">
      <c r="A46" s="24">
        <f t="shared" si="2"/>
        <v>46310</v>
      </c>
      <c r="B46" s="21" t="str">
        <f t="shared" si="1"/>
        <v>jue</v>
      </c>
      <c r="C46" s="21">
        <f>IF(OR(WEEKDAY(A46)=1,COUNTIF(FERIADOS,A46)&gt;0),0,1)</f>
        <v>1</v>
      </c>
      <c r="D46" s="21">
        <f t="shared" si="3"/>
        <v>33</v>
      </c>
    </row>
    <row r="47" ht="15.75" customHeight="1">
      <c r="A47" s="24">
        <f t="shared" si="2"/>
        <v>46311</v>
      </c>
      <c r="B47" s="21" t="str">
        <f t="shared" si="1"/>
        <v>vie</v>
      </c>
      <c r="C47" s="21">
        <f>IF(OR(WEEKDAY(A47)=1,COUNTIF(FERIADOS,A47)&gt;0),0,1)</f>
        <v>1</v>
      </c>
      <c r="D47" s="21">
        <f t="shared" si="3"/>
        <v>34</v>
      </c>
    </row>
    <row r="48" ht="15.75" customHeight="1">
      <c r="A48" s="24">
        <f t="shared" si="2"/>
        <v>46312</v>
      </c>
      <c r="B48" s="21" t="str">
        <f t="shared" si="1"/>
        <v>sáb</v>
      </c>
      <c r="C48" s="21">
        <f>IF(OR(WEEKDAY(A48)=1,COUNTIF(FERIADOS,A48)&gt;0),0,1)</f>
        <v>1</v>
      </c>
      <c r="D48" s="21">
        <f t="shared" si="3"/>
        <v>35</v>
      </c>
    </row>
    <row r="49" ht="15.75" customHeight="1">
      <c r="A49" s="24">
        <f t="shared" si="2"/>
        <v>46313</v>
      </c>
      <c r="B49" s="21" t="str">
        <f t="shared" si="1"/>
        <v>dom</v>
      </c>
      <c r="C49" s="21">
        <f>IF(OR(WEEKDAY(A49)=1,COUNTIF(FERIADOS,A49)&gt;0),0,1)</f>
        <v>0</v>
      </c>
      <c r="D49" s="21">
        <f t="shared" si="3"/>
        <v>35</v>
      </c>
    </row>
    <row r="50" ht="15.75" customHeight="1">
      <c r="A50" s="24">
        <f t="shared" si="2"/>
        <v>46314</v>
      </c>
      <c r="B50" s="21" t="str">
        <f t="shared" si="1"/>
        <v>lun</v>
      </c>
      <c r="C50" s="21">
        <f>IF(OR(WEEKDAY(A50)=1,COUNTIF(FERIADOS,A50)&gt;0),0,1)</f>
        <v>1</v>
      </c>
      <c r="D50" s="21">
        <f t="shared" si="3"/>
        <v>36</v>
      </c>
    </row>
    <row r="51" ht="15.75" customHeight="1">
      <c r="A51" s="24">
        <f t="shared" si="2"/>
        <v>46315</v>
      </c>
      <c r="B51" s="21" t="str">
        <f t="shared" si="1"/>
        <v>mar</v>
      </c>
      <c r="C51" s="21">
        <f>IF(OR(WEEKDAY(A51)=1,COUNTIF(FERIADOS,A51)&gt;0),0,1)</f>
        <v>1</v>
      </c>
      <c r="D51" s="21">
        <f t="shared" si="3"/>
        <v>37</v>
      </c>
    </row>
    <row r="52" ht="15.75" customHeight="1">
      <c r="A52" s="24">
        <f t="shared" si="2"/>
        <v>46316</v>
      </c>
      <c r="B52" s="21" t="str">
        <f t="shared" si="1"/>
        <v>mié</v>
      </c>
      <c r="C52" s="21">
        <f>IF(OR(WEEKDAY(A52)=1,COUNTIF(FERIADOS,A52)&gt;0),0,1)</f>
        <v>1</v>
      </c>
      <c r="D52" s="21">
        <f t="shared" si="3"/>
        <v>38</v>
      </c>
    </row>
    <row r="53" ht="15.75" customHeight="1">
      <c r="A53" s="24">
        <f t="shared" si="2"/>
        <v>46317</v>
      </c>
      <c r="B53" s="21" t="str">
        <f t="shared" si="1"/>
        <v>jue</v>
      </c>
      <c r="C53" s="21">
        <f>IF(OR(WEEKDAY(A53)=1,COUNTIF(FERIADOS,A53)&gt;0),0,1)</f>
        <v>1</v>
      </c>
      <c r="D53" s="21">
        <f t="shared" si="3"/>
        <v>39</v>
      </c>
    </row>
    <row r="54" ht="15.75" customHeight="1">
      <c r="A54" s="24">
        <f t="shared" si="2"/>
        <v>46318</v>
      </c>
      <c r="B54" s="21" t="str">
        <f t="shared" si="1"/>
        <v>vie</v>
      </c>
      <c r="C54" s="21">
        <f>IF(OR(WEEKDAY(A54)=1,COUNTIF(FERIADOS,A54)&gt;0),0,1)</f>
        <v>1</v>
      </c>
      <c r="D54" s="21">
        <f t="shared" si="3"/>
        <v>40</v>
      </c>
    </row>
    <row r="55" ht="15.75" customHeight="1">
      <c r="A55" s="24">
        <f t="shared" si="2"/>
        <v>46319</v>
      </c>
      <c r="B55" s="21" t="str">
        <f t="shared" si="1"/>
        <v>sáb</v>
      </c>
      <c r="C55" s="21">
        <f>IF(OR(WEEKDAY(A55)=1,COUNTIF(FERIADOS,A55)&gt;0),0,1)</f>
        <v>1</v>
      </c>
      <c r="D55" s="21">
        <f t="shared" si="3"/>
        <v>41</v>
      </c>
    </row>
    <row r="56" ht="15.75" customHeight="1">
      <c r="A56" s="24">
        <f t="shared" si="2"/>
        <v>46320</v>
      </c>
      <c r="B56" s="21" t="str">
        <f t="shared" si="1"/>
        <v>dom</v>
      </c>
      <c r="C56" s="21">
        <f>IF(OR(WEEKDAY(A56)=1,COUNTIF(FERIADOS,A56)&gt;0),0,1)</f>
        <v>0</v>
      </c>
      <c r="D56" s="21">
        <f t="shared" si="3"/>
        <v>41</v>
      </c>
    </row>
    <row r="57" ht="15.75" customHeight="1">
      <c r="A57" s="24">
        <f t="shared" si="2"/>
        <v>46321</v>
      </c>
      <c r="B57" s="21" t="str">
        <f t="shared" si="1"/>
        <v>lun</v>
      </c>
      <c r="C57" s="21">
        <f>IF(OR(WEEKDAY(A57)=1,COUNTIF(FERIADOS,A57)&gt;0),0,1)</f>
        <v>1</v>
      </c>
      <c r="D57" s="21">
        <f t="shared" si="3"/>
        <v>42</v>
      </c>
    </row>
    <row r="58" ht="15.75" customHeight="1">
      <c r="A58" s="24">
        <f t="shared" si="2"/>
        <v>46322</v>
      </c>
      <c r="B58" s="21" t="str">
        <f t="shared" si="1"/>
        <v>mar</v>
      </c>
      <c r="C58" s="21">
        <f>IF(OR(WEEKDAY(A58)=1,COUNTIF(FERIADOS,A58)&gt;0),0,1)</f>
        <v>1</v>
      </c>
      <c r="D58" s="21">
        <f t="shared" si="3"/>
        <v>43</v>
      </c>
    </row>
    <row r="59" ht="15.75" customHeight="1">
      <c r="A59" s="24">
        <f t="shared" si="2"/>
        <v>46323</v>
      </c>
      <c r="B59" s="21" t="str">
        <f t="shared" si="1"/>
        <v>mié</v>
      </c>
      <c r="C59" s="21">
        <f>IF(OR(WEEKDAY(A59)=1,COUNTIF(FERIADOS,A59)&gt;0),0,1)</f>
        <v>1</v>
      </c>
      <c r="D59" s="21">
        <f t="shared" si="3"/>
        <v>44</v>
      </c>
    </row>
    <row r="60" ht="15.75" customHeight="1">
      <c r="A60" s="24">
        <f t="shared" si="2"/>
        <v>46324</v>
      </c>
      <c r="B60" s="21" t="str">
        <f t="shared" si="1"/>
        <v>jue</v>
      </c>
      <c r="C60" s="21">
        <f>IF(OR(WEEKDAY(A60)=1,COUNTIF(FERIADOS,A60)&gt;0),0,1)</f>
        <v>1</v>
      </c>
      <c r="D60" s="21">
        <f t="shared" si="3"/>
        <v>45</v>
      </c>
    </row>
    <row r="61" ht="15.75" customHeight="1">
      <c r="A61" s="24">
        <f t="shared" si="2"/>
        <v>46325</v>
      </c>
      <c r="B61" s="21" t="str">
        <f t="shared" si="1"/>
        <v>vie</v>
      </c>
      <c r="C61" s="21">
        <f>IF(OR(WEEKDAY(A61)=1,COUNTIF(FERIADOS,A61)&gt;0),0,1)</f>
        <v>1</v>
      </c>
      <c r="D61" s="21">
        <f t="shared" si="3"/>
        <v>46</v>
      </c>
    </row>
    <row r="62" ht="15.75" customHeight="1">
      <c r="A62" s="24">
        <f t="shared" si="2"/>
        <v>46326</v>
      </c>
      <c r="B62" s="21" t="str">
        <f t="shared" si="1"/>
        <v>sáb</v>
      </c>
      <c r="C62" s="21">
        <f>IF(OR(WEEKDAY(A62)=1,COUNTIF(FERIADOS,A62)&gt;0),0,1)</f>
        <v>1</v>
      </c>
      <c r="D62" s="21">
        <f t="shared" si="3"/>
        <v>47</v>
      </c>
    </row>
    <row r="63" ht="15.75" customHeight="1">
      <c r="A63" s="24">
        <f t="shared" si="2"/>
        <v>46327</v>
      </c>
      <c r="B63" s="21" t="str">
        <f t="shared" si="1"/>
        <v>dom</v>
      </c>
      <c r="C63" s="21">
        <f>IF(OR(WEEKDAY(A63)=1,COUNTIF(FERIADOS,A63)&gt;0),0,1)</f>
        <v>0</v>
      </c>
      <c r="D63" s="21">
        <f t="shared" si="3"/>
        <v>47</v>
      </c>
    </row>
    <row r="64" ht="15.75" customHeight="1">
      <c r="A64" s="24">
        <f t="shared" si="2"/>
        <v>46328</v>
      </c>
      <c r="B64" s="21" t="str">
        <f t="shared" si="1"/>
        <v>lun</v>
      </c>
      <c r="C64" s="21">
        <f>IF(OR(WEEKDAY(A64)=1,COUNTIF(FERIADOS,A64)&gt;0),0,1)</f>
        <v>1</v>
      </c>
      <c r="D64" s="21">
        <f t="shared" si="3"/>
        <v>48</v>
      </c>
    </row>
    <row r="65" ht="15.75" customHeight="1">
      <c r="A65" s="24">
        <f t="shared" si="2"/>
        <v>46329</v>
      </c>
      <c r="B65" s="21" t="str">
        <f t="shared" si="1"/>
        <v>mar</v>
      </c>
      <c r="C65" s="21">
        <f>IF(OR(WEEKDAY(A65)=1,COUNTIF(FERIADOS,A65)&gt;0),0,1)</f>
        <v>1</v>
      </c>
      <c r="D65" s="21">
        <f t="shared" si="3"/>
        <v>49</v>
      </c>
    </row>
    <row r="66" ht="15.75" customHeight="1">
      <c r="A66" s="24">
        <f t="shared" si="2"/>
        <v>46330</v>
      </c>
      <c r="B66" s="21" t="str">
        <f t="shared" si="1"/>
        <v>mié</v>
      </c>
      <c r="C66" s="21">
        <f>IF(OR(WEEKDAY(A66)=1,COUNTIF(FERIADOS,A66)&gt;0),0,1)</f>
        <v>1</v>
      </c>
      <c r="D66" s="21">
        <f t="shared" si="3"/>
        <v>50</v>
      </c>
    </row>
    <row r="67" ht="15.75" customHeight="1">
      <c r="A67" s="24">
        <f t="shared" si="2"/>
        <v>46331</v>
      </c>
      <c r="B67" s="21" t="str">
        <f t="shared" si="1"/>
        <v>jue</v>
      </c>
      <c r="C67" s="21">
        <f>IF(OR(WEEKDAY(A67)=1,COUNTIF(FERIADOS,A67)&gt;0),0,1)</f>
        <v>1</v>
      </c>
      <c r="D67" s="21">
        <f t="shared" si="3"/>
        <v>51</v>
      </c>
    </row>
    <row r="68" ht="15.75" customHeight="1">
      <c r="A68" s="24">
        <f t="shared" si="2"/>
        <v>46332</v>
      </c>
      <c r="B68" s="21" t="str">
        <f t="shared" si="1"/>
        <v>vie</v>
      </c>
      <c r="C68" s="21">
        <f>IF(OR(WEEKDAY(A68)=1,COUNTIF(FERIADOS,A68)&gt;0),0,1)</f>
        <v>1</v>
      </c>
      <c r="D68" s="21">
        <f t="shared" si="3"/>
        <v>52</v>
      </c>
    </row>
    <row r="69" ht="15.75" customHeight="1">
      <c r="A69" s="24">
        <f t="shared" si="2"/>
        <v>46333</v>
      </c>
      <c r="B69" s="21" t="str">
        <f t="shared" si="1"/>
        <v>sáb</v>
      </c>
      <c r="C69" s="21">
        <f>IF(OR(WEEKDAY(A69)=1,COUNTIF(FERIADOS,A69)&gt;0),0,1)</f>
        <v>1</v>
      </c>
      <c r="D69" s="21">
        <f t="shared" si="3"/>
        <v>53</v>
      </c>
    </row>
    <row r="70" ht="15.75" customHeight="1">
      <c r="A70" s="24">
        <f t="shared" si="2"/>
        <v>46334</v>
      </c>
      <c r="B70" s="21" t="str">
        <f t="shared" si="1"/>
        <v>dom</v>
      </c>
      <c r="C70" s="21">
        <f>IF(OR(WEEKDAY(A70)=1,COUNTIF(FERIADOS,A70)&gt;0),0,1)</f>
        <v>0</v>
      </c>
      <c r="D70" s="21">
        <f t="shared" si="3"/>
        <v>53</v>
      </c>
    </row>
    <row r="71" ht="15.75" customHeight="1">
      <c r="A71" s="24">
        <f t="shared" si="2"/>
        <v>46335</v>
      </c>
      <c r="B71" s="21" t="str">
        <f t="shared" si="1"/>
        <v>lun</v>
      </c>
      <c r="C71" s="21">
        <f>IF(OR(WEEKDAY(A71)=1,COUNTIF(FERIADOS,A71)&gt;0),0,1)</f>
        <v>1</v>
      </c>
      <c r="D71" s="21">
        <f t="shared" si="3"/>
        <v>54</v>
      </c>
    </row>
    <row r="72" ht="15.75" customHeight="1">
      <c r="A72" s="24">
        <f t="shared" si="2"/>
        <v>46336</v>
      </c>
      <c r="B72" s="21" t="str">
        <f t="shared" si="1"/>
        <v>mar</v>
      </c>
      <c r="C72" s="21">
        <f>IF(OR(WEEKDAY(A72)=1,COUNTIF(FERIADOS,A72)&gt;0),0,1)</f>
        <v>1</v>
      </c>
      <c r="D72" s="21">
        <f t="shared" si="3"/>
        <v>55</v>
      </c>
    </row>
    <row r="73" ht="15.75" customHeight="1">
      <c r="A73" s="24">
        <f t="shared" si="2"/>
        <v>46337</v>
      </c>
      <c r="B73" s="21" t="str">
        <f t="shared" si="1"/>
        <v>mié</v>
      </c>
      <c r="C73" s="21">
        <f>IF(OR(WEEKDAY(A73)=1,COUNTIF(FERIADOS,A73)&gt;0),0,1)</f>
        <v>1</v>
      </c>
      <c r="D73" s="21">
        <f t="shared" si="3"/>
        <v>56</v>
      </c>
    </row>
    <row r="74" ht="15.75" customHeight="1">
      <c r="A74" s="24">
        <f t="shared" si="2"/>
        <v>46338</v>
      </c>
      <c r="B74" s="21" t="str">
        <f t="shared" si="1"/>
        <v>jue</v>
      </c>
      <c r="C74" s="21">
        <f>IF(OR(WEEKDAY(A74)=1,COUNTIF(FERIADOS,A74)&gt;0),0,1)</f>
        <v>1</v>
      </c>
      <c r="D74" s="21">
        <f t="shared" si="3"/>
        <v>57</v>
      </c>
    </row>
    <row r="75" ht="15.75" customHeight="1">
      <c r="A75" s="24">
        <f t="shared" si="2"/>
        <v>46339</v>
      </c>
      <c r="B75" s="21" t="str">
        <f t="shared" si="1"/>
        <v>vie</v>
      </c>
      <c r="C75" s="21">
        <f>IF(OR(WEEKDAY(A75)=1,COUNTIF(FERIADOS,A75)&gt;0),0,1)</f>
        <v>1</v>
      </c>
      <c r="D75" s="21">
        <f t="shared" si="3"/>
        <v>58</v>
      </c>
    </row>
    <row r="76" ht="15.75" customHeight="1">
      <c r="A76" s="24">
        <f t="shared" si="2"/>
        <v>46340</v>
      </c>
      <c r="B76" s="21" t="str">
        <f t="shared" si="1"/>
        <v>sáb</v>
      </c>
      <c r="C76" s="21">
        <f>IF(OR(WEEKDAY(A76)=1,COUNTIF(FERIADOS,A76)&gt;0),0,1)</f>
        <v>1</v>
      </c>
      <c r="D76" s="21">
        <f t="shared" si="3"/>
        <v>59</v>
      </c>
    </row>
    <row r="77" ht="15.75" customHeight="1">
      <c r="A77" s="24">
        <f t="shared" si="2"/>
        <v>46341</v>
      </c>
      <c r="B77" s="21" t="str">
        <f t="shared" si="1"/>
        <v>dom</v>
      </c>
      <c r="C77" s="21">
        <f>IF(OR(WEEKDAY(A77)=1,COUNTIF(FERIADOS,A77)&gt;0),0,1)</f>
        <v>0</v>
      </c>
      <c r="D77" s="21">
        <f t="shared" si="3"/>
        <v>59</v>
      </c>
    </row>
    <row r="78" ht="15.75" customHeight="1">
      <c r="A78" s="24">
        <f t="shared" si="2"/>
        <v>46342</v>
      </c>
      <c r="B78" s="21" t="str">
        <f t="shared" si="1"/>
        <v>lun</v>
      </c>
      <c r="C78" s="21">
        <f>IF(OR(WEEKDAY(A78)=1,COUNTIF(FERIADOS,A78)&gt;0),0,1)</f>
        <v>1</v>
      </c>
      <c r="D78" s="21">
        <f t="shared" si="3"/>
        <v>60</v>
      </c>
    </row>
    <row r="79" ht="15.75" customHeight="1">
      <c r="A79" s="24">
        <f t="shared" si="2"/>
        <v>46343</v>
      </c>
      <c r="B79" s="21" t="str">
        <f t="shared" si="1"/>
        <v>mar</v>
      </c>
      <c r="C79" s="21">
        <f>IF(OR(WEEKDAY(A79)=1,COUNTIF(FERIADOS,A79)&gt;0),0,1)</f>
        <v>1</v>
      </c>
      <c r="D79" s="21">
        <f t="shared" si="3"/>
        <v>61</v>
      </c>
    </row>
    <row r="80" ht="15.75" customHeight="1">
      <c r="A80" s="24">
        <f t="shared" si="2"/>
        <v>46344</v>
      </c>
      <c r="B80" s="21" t="str">
        <f t="shared" si="1"/>
        <v>mié</v>
      </c>
      <c r="C80" s="21">
        <f>IF(OR(WEEKDAY(A80)=1,COUNTIF(FERIADOS,A80)&gt;0),0,1)</f>
        <v>1</v>
      </c>
      <c r="D80" s="21">
        <f t="shared" si="3"/>
        <v>62</v>
      </c>
    </row>
    <row r="81" ht="15.75" customHeight="1">
      <c r="A81" s="24">
        <f t="shared" si="2"/>
        <v>46345</v>
      </c>
      <c r="B81" s="21" t="str">
        <f t="shared" si="1"/>
        <v>jue</v>
      </c>
      <c r="C81" s="21">
        <f>IF(OR(WEEKDAY(A81)=1,COUNTIF(FERIADOS,A81)&gt;0),0,1)</f>
        <v>1</v>
      </c>
      <c r="D81" s="21">
        <f t="shared" si="3"/>
        <v>63</v>
      </c>
    </row>
    <row r="82" ht="15.75" customHeight="1">
      <c r="A82" s="24">
        <f t="shared" si="2"/>
        <v>46346</v>
      </c>
      <c r="B82" s="21" t="str">
        <f t="shared" si="1"/>
        <v>vie</v>
      </c>
      <c r="C82" s="21">
        <f>IF(OR(WEEKDAY(A82)=1,COUNTIF(FERIADOS,A82)&gt;0),0,1)</f>
        <v>1</v>
      </c>
      <c r="D82" s="21">
        <f t="shared" si="3"/>
        <v>64</v>
      </c>
    </row>
    <row r="83" ht="15.75" customHeight="1">
      <c r="A83" s="24">
        <f t="shared" si="2"/>
        <v>46347</v>
      </c>
      <c r="B83" s="21" t="str">
        <f t="shared" si="1"/>
        <v>sáb</v>
      </c>
      <c r="C83" s="21">
        <f>IF(OR(WEEKDAY(A83)=1,COUNTIF(FERIADOS,A83)&gt;0),0,1)</f>
        <v>1</v>
      </c>
      <c r="D83" s="21">
        <f t="shared" si="3"/>
        <v>65</v>
      </c>
    </row>
    <row r="84" ht="15.75" customHeight="1">
      <c r="A84" s="24">
        <f t="shared" si="2"/>
        <v>46348</v>
      </c>
      <c r="B84" s="21" t="str">
        <f t="shared" si="1"/>
        <v>dom</v>
      </c>
      <c r="C84" s="21">
        <f>IF(OR(WEEKDAY(A84)=1,COUNTIF(FERIADOS,A84)&gt;0),0,1)</f>
        <v>0</v>
      </c>
      <c r="D84" s="21">
        <f t="shared" si="3"/>
        <v>65</v>
      </c>
    </row>
    <row r="85" ht="15.75" customHeight="1">
      <c r="A85" s="24">
        <f t="shared" si="2"/>
        <v>46349</v>
      </c>
      <c r="B85" s="21" t="str">
        <f t="shared" si="1"/>
        <v>lun</v>
      </c>
      <c r="C85" s="21">
        <f>IF(OR(WEEKDAY(A85)=1,COUNTIF(FERIADOS,A85)&gt;0),0,1)</f>
        <v>1</v>
      </c>
      <c r="D85" s="21">
        <f t="shared" si="3"/>
        <v>66</v>
      </c>
    </row>
    <row r="86" ht="15.75" customHeight="1">
      <c r="A86" s="24">
        <f t="shared" si="2"/>
        <v>46350</v>
      </c>
      <c r="B86" s="21" t="str">
        <f t="shared" si="1"/>
        <v>mar</v>
      </c>
      <c r="C86" s="21">
        <f>IF(OR(WEEKDAY(A86)=1,COUNTIF(FERIADOS,A86)&gt;0),0,1)</f>
        <v>1</v>
      </c>
      <c r="D86" s="21">
        <f t="shared" si="3"/>
        <v>67</v>
      </c>
    </row>
    <row r="87" ht="15.75" customHeight="1">
      <c r="A87" s="24">
        <f t="shared" si="2"/>
        <v>46351</v>
      </c>
      <c r="B87" s="21" t="str">
        <f t="shared" si="1"/>
        <v>mié</v>
      </c>
      <c r="C87" s="21">
        <f>IF(OR(WEEKDAY(A87)=1,COUNTIF(FERIADOS,A87)&gt;0),0,1)</f>
        <v>1</v>
      </c>
      <c r="D87" s="21">
        <f t="shared" si="3"/>
        <v>68</v>
      </c>
    </row>
    <row r="88" ht="15.75" customHeight="1">
      <c r="A88" s="24">
        <f t="shared" si="2"/>
        <v>46352</v>
      </c>
      <c r="B88" s="21" t="str">
        <f t="shared" si="1"/>
        <v>jue</v>
      </c>
      <c r="C88" s="21">
        <f>IF(OR(WEEKDAY(A88)=1,COUNTIF(FERIADOS,A88)&gt;0),0,1)</f>
        <v>1</v>
      </c>
      <c r="D88" s="21">
        <f t="shared" si="3"/>
        <v>69</v>
      </c>
    </row>
    <row r="89" ht="15.75" customHeight="1">
      <c r="A89" s="24">
        <f t="shared" si="2"/>
        <v>46353</v>
      </c>
      <c r="B89" s="21" t="str">
        <f t="shared" si="1"/>
        <v>vie</v>
      </c>
      <c r="C89" s="21">
        <f>IF(OR(WEEKDAY(A89)=1,COUNTIF(FERIADOS,A89)&gt;0),0,1)</f>
        <v>1</v>
      </c>
      <c r="D89" s="21">
        <f t="shared" si="3"/>
        <v>70</v>
      </c>
    </row>
    <row r="90" ht="15.75" customHeight="1">
      <c r="A90" s="24">
        <f t="shared" si="2"/>
        <v>46354</v>
      </c>
      <c r="B90" s="21" t="str">
        <f t="shared" si="1"/>
        <v>sáb</v>
      </c>
      <c r="C90" s="21">
        <f>IF(OR(WEEKDAY(A90)=1,COUNTIF(FERIADOS,A90)&gt;0),0,1)</f>
        <v>1</v>
      </c>
      <c r="D90" s="21">
        <f t="shared" si="3"/>
        <v>71</v>
      </c>
    </row>
    <row r="91" ht="15.75" customHeight="1">
      <c r="A91" s="24">
        <f t="shared" si="2"/>
        <v>46355</v>
      </c>
      <c r="B91" s="21" t="str">
        <f t="shared" si="1"/>
        <v>dom</v>
      </c>
      <c r="C91" s="21">
        <f>IF(OR(WEEKDAY(A91)=1,COUNTIF(FERIADOS,A91)&gt;0),0,1)</f>
        <v>0</v>
      </c>
      <c r="D91" s="21">
        <f t="shared" si="3"/>
        <v>71</v>
      </c>
    </row>
    <row r="92" ht="15.75" customHeight="1">
      <c r="A92" s="24">
        <f t="shared" si="2"/>
        <v>46356</v>
      </c>
      <c r="B92" s="21" t="str">
        <f t="shared" si="1"/>
        <v>lun</v>
      </c>
      <c r="C92" s="21">
        <f>IF(OR(WEEKDAY(A92)=1,COUNTIF(FERIADOS,A92)&gt;0),0,1)</f>
        <v>1</v>
      </c>
      <c r="D92" s="21">
        <f t="shared" si="3"/>
        <v>72</v>
      </c>
    </row>
    <row r="93" ht="15.75" customHeight="1">
      <c r="A93" s="24">
        <f t="shared" si="2"/>
        <v>46357</v>
      </c>
      <c r="B93" s="21" t="str">
        <f t="shared" si="1"/>
        <v>mar</v>
      </c>
      <c r="C93" s="21">
        <f>IF(OR(WEEKDAY(A93)=1,COUNTIF(FERIADOS,A93)&gt;0),0,1)</f>
        <v>1</v>
      </c>
      <c r="D93" s="21">
        <f t="shared" si="3"/>
        <v>73</v>
      </c>
    </row>
    <row r="94" ht="15.75" customHeight="1">
      <c r="A94" s="24">
        <f t="shared" si="2"/>
        <v>46358</v>
      </c>
      <c r="B94" s="21" t="str">
        <f t="shared" si="1"/>
        <v>mié</v>
      </c>
      <c r="C94" s="21">
        <f>IF(OR(WEEKDAY(A94)=1,COUNTIF(FERIADOS,A94)&gt;0),0,1)</f>
        <v>1</v>
      </c>
      <c r="D94" s="21">
        <f t="shared" si="3"/>
        <v>74</v>
      </c>
    </row>
    <row r="95" ht="15.75" customHeight="1">
      <c r="A95" s="24">
        <f t="shared" si="2"/>
        <v>46359</v>
      </c>
      <c r="B95" s="21" t="str">
        <f t="shared" si="1"/>
        <v>jue</v>
      </c>
      <c r="C95" s="21">
        <f>IF(OR(WEEKDAY(A95)=1,COUNTIF(FERIADOS,A95)&gt;0),0,1)</f>
        <v>1</v>
      </c>
      <c r="D95" s="21">
        <f t="shared" si="3"/>
        <v>75</v>
      </c>
    </row>
    <row r="96" ht="15.75" customHeight="1">
      <c r="A96" s="24">
        <f t="shared" si="2"/>
        <v>46360</v>
      </c>
      <c r="B96" s="21" t="str">
        <f t="shared" si="1"/>
        <v>vie</v>
      </c>
      <c r="C96" s="21">
        <f>IF(OR(WEEKDAY(A96)=1,COUNTIF(FERIADOS,A96)&gt;0),0,1)</f>
        <v>1</v>
      </c>
      <c r="D96" s="21">
        <f t="shared" si="3"/>
        <v>76</v>
      </c>
    </row>
    <row r="97" ht="15.75" customHeight="1">
      <c r="A97" s="24">
        <f t="shared" si="2"/>
        <v>46361</v>
      </c>
      <c r="B97" s="21" t="str">
        <f t="shared" si="1"/>
        <v>sáb</v>
      </c>
      <c r="C97" s="21">
        <f>IF(OR(WEEKDAY(A97)=1,COUNTIF(FERIADOS,A97)&gt;0),0,1)</f>
        <v>1</v>
      </c>
      <c r="D97" s="21">
        <f t="shared" si="3"/>
        <v>77</v>
      </c>
    </row>
    <row r="98" ht="15.75" customHeight="1">
      <c r="A98" s="24">
        <f t="shared" si="2"/>
        <v>46362</v>
      </c>
      <c r="B98" s="21" t="str">
        <f t="shared" si="1"/>
        <v>dom</v>
      </c>
      <c r="C98" s="21">
        <f>IF(OR(WEEKDAY(A98)=1,COUNTIF(FERIADOS,A98)&gt;0),0,1)</f>
        <v>0</v>
      </c>
      <c r="D98" s="21">
        <f t="shared" si="3"/>
        <v>77</v>
      </c>
    </row>
    <row r="99" ht="15.75" customHeight="1">
      <c r="A99" s="24">
        <f t="shared" si="2"/>
        <v>46363</v>
      </c>
      <c r="B99" s="21" t="str">
        <f t="shared" si="1"/>
        <v>lun</v>
      </c>
      <c r="C99" s="21">
        <f>IF(OR(WEEKDAY(A99)=1,COUNTIF(FERIADOS,A99)&gt;0),0,1)</f>
        <v>1</v>
      </c>
      <c r="D99" s="21">
        <f t="shared" si="3"/>
        <v>78</v>
      </c>
    </row>
    <row r="100" ht="15.75" customHeight="1">
      <c r="A100" s="24">
        <f t="shared" si="2"/>
        <v>46364</v>
      </c>
      <c r="B100" s="21" t="str">
        <f t="shared" si="1"/>
        <v>mar</v>
      </c>
      <c r="C100" s="21">
        <f>IF(OR(WEEKDAY(A100)=1,COUNTIF(FERIADOS,A100)&gt;0),0,1)</f>
        <v>0</v>
      </c>
      <c r="D100" s="21">
        <f t="shared" si="3"/>
        <v>78</v>
      </c>
    </row>
    <row r="101" ht="15.75" customHeight="1">
      <c r="A101" s="24">
        <f t="shared" si="2"/>
        <v>46365</v>
      </c>
      <c r="B101" s="21" t="str">
        <f t="shared" si="1"/>
        <v>mié</v>
      </c>
      <c r="C101" s="21">
        <f>IF(OR(WEEKDAY(A101)=1,COUNTIF(FERIADOS,A101)&gt;0),0,1)</f>
        <v>0</v>
      </c>
      <c r="D101" s="21">
        <f t="shared" si="3"/>
        <v>78</v>
      </c>
    </row>
    <row r="102" ht="15.75" customHeight="1">
      <c r="A102" s="24">
        <f t="shared" si="2"/>
        <v>46366</v>
      </c>
      <c r="B102" s="21" t="str">
        <f t="shared" si="1"/>
        <v>jue</v>
      </c>
      <c r="C102" s="21">
        <f>IF(OR(WEEKDAY(A102)=1,COUNTIF(FERIADOS,A102)&gt;0),0,1)</f>
        <v>1</v>
      </c>
      <c r="D102" s="21">
        <f t="shared" si="3"/>
        <v>79</v>
      </c>
    </row>
    <row r="103" ht="15.75" customHeight="1">
      <c r="A103" s="24">
        <f t="shared" si="2"/>
        <v>46367</v>
      </c>
      <c r="B103" s="21" t="str">
        <f t="shared" si="1"/>
        <v>vie</v>
      </c>
      <c r="C103" s="21">
        <f>IF(OR(WEEKDAY(A103)=1,COUNTIF(FERIADOS,A103)&gt;0),0,1)</f>
        <v>1</v>
      </c>
      <c r="D103" s="21">
        <f t="shared" si="3"/>
        <v>80</v>
      </c>
    </row>
    <row r="104" ht="15.75" customHeight="1">
      <c r="A104" s="24">
        <f t="shared" si="2"/>
        <v>46368</v>
      </c>
      <c r="B104" s="21" t="str">
        <f t="shared" si="1"/>
        <v>sáb</v>
      </c>
      <c r="C104" s="21">
        <f>IF(OR(WEEKDAY(A104)=1,COUNTIF(FERIADOS,A104)&gt;0),0,1)</f>
        <v>1</v>
      </c>
      <c r="D104" s="21">
        <f t="shared" si="3"/>
        <v>81</v>
      </c>
    </row>
    <row r="105" ht="15.75" customHeight="1">
      <c r="A105" s="24">
        <f t="shared" si="2"/>
        <v>46369</v>
      </c>
      <c r="B105" s="21" t="str">
        <f t="shared" si="1"/>
        <v>dom</v>
      </c>
      <c r="C105" s="21">
        <f>IF(OR(WEEKDAY(A105)=1,COUNTIF(FERIADOS,A105)&gt;0),0,1)</f>
        <v>0</v>
      </c>
      <c r="D105" s="21">
        <f t="shared" si="3"/>
        <v>81</v>
      </c>
    </row>
    <row r="106" ht="15.75" customHeight="1">
      <c r="A106" s="24">
        <f t="shared" si="2"/>
        <v>46370</v>
      </c>
      <c r="B106" s="21" t="str">
        <f t="shared" si="1"/>
        <v>lun</v>
      </c>
      <c r="C106" s="21">
        <f>IF(OR(WEEKDAY(A106)=1,COUNTIF(FERIADOS,A106)&gt;0),0,1)</f>
        <v>1</v>
      </c>
      <c r="D106" s="21">
        <f t="shared" si="3"/>
        <v>82</v>
      </c>
    </row>
    <row r="107" ht="15.75" customHeight="1">
      <c r="A107" s="24">
        <f t="shared" si="2"/>
        <v>46371</v>
      </c>
      <c r="B107" s="21" t="str">
        <f t="shared" si="1"/>
        <v>mar</v>
      </c>
      <c r="C107" s="21">
        <f>IF(OR(WEEKDAY(A107)=1,COUNTIF(FERIADOS,A107)&gt;0),0,1)</f>
        <v>1</v>
      </c>
      <c r="D107" s="21">
        <f t="shared" si="3"/>
        <v>83</v>
      </c>
    </row>
    <row r="108" ht="15.75" customHeight="1">
      <c r="A108" s="24">
        <f t="shared" si="2"/>
        <v>46372</v>
      </c>
      <c r="B108" s="21" t="str">
        <f t="shared" si="1"/>
        <v>mié</v>
      </c>
      <c r="C108" s="21">
        <f>IF(OR(WEEKDAY(A108)=1,COUNTIF(FERIADOS,A108)&gt;0),0,1)</f>
        <v>1</v>
      </c>
      <c r="D108" s="21">
        <f t="shared" si="3"/>
        <v>84</v>
      </c>
    </row>
    <row r="109" ht="15.75" customHeight="1">
      <c r="A109" s="24">
        <f t="shared" si="2"/>
        <v>46373</v>
      </c>
      <c r="B109" s="21" t="str">
        <f t="shared" si="1"/>
        <v>jue</v>
      </c>
      <c r="C109" s="21">
        <f>IF(OR(WEEKDAY(A109)=1,COUNTIF(FERIADOS,A109)&gt;0),0,1)</f>
        <v>1</v>
      </c>
      <c r="D109" s="21">
        <f t="shared" si="3"/>
        <v>85</v>
      </c>
    </row>
    <row r="110" ht="15.75" customHeight="1">
      <c r="A110" s="24">
        <f t="shared" si="2"/>
        <v>46374</v>
      </c>
      <c r="B110" s="21" t="str">
        <f t="shared" si="1"/>
        <v>vie</v>
      </c>
      <c r="C110" s="21">
        <f>IF(OR(WEEKDAY(A110)=1,COUNTIF(FERIADOS,A110)&gt;0),0,1)</f>
        <v>1</v>
      </c>
      <c r="D110" s="21">
        <f t="shared" si="3"/>
        <v>86</v>
      </c>
    </row>
    <row r="111" ht="15.75" customHeight="1">
      <c r="A111" s="24">
        <f t="shared" si="2"/>
        <v>46375</v>
      </c>
      <c r="B111" s="21" t="str">
        <f t="shared" si="1"/>
        <v>sáb</v>
      </c>
      <c r="C111" s="21">
        <f>IF(OR(WEEKDAY(A111)=1,COUNTIF(FERIADOS,A111)&gt;0),0,1)</f>
        <v>1</v>
      </c>
      <c r="D111" s="21">
        <f t="shared" si="3"/>
        <v>87</v>
      </c>
    </row>
    <row r="112" ht="15.75" customHeight="1">
      <c r="A112" s="24">
        <f t="shared" si="2"/>
        <v>46376</v>
      </c>
      <c r="B112" s="21" t="str">
        <f t="shared" si="1"/>
        <v>dom</v>
      </c>
      <c r="C112" s="21">
        <f>IF(OR(WEEKDAY(A112)=1,COUNTIF(FERIADOS,A112)&gt;0),0,1)</f>
        <v>0</v>
      </c>
      <c r="D112" s="21">
        <f t="shared" si="3"/>
        <v>87</v>
      </c>
    </row>
    <row r="113" ht="15.75" customHeight="1">
      <c r="A113" s="24">
        <f t="shared" si="2"/>
        <v>46377</v>
      </c>
      <c r="B113" s="21" t="str">
        <f t="shared" si="1"/>
        <v>lun</v>
      </c>
      <c r="C113" s="21">
        <f>IF(OR(WEEKDAY(A113)=1,COUNTIF(FERIADOS,A113)&gt;0),0,1)</f>
        <v>1</v>
      </c>
      <c r="D113" s="21">
        <f t="shared" si="3"/>
        <v>88</v>
      </c>
    </row>
    <row r="114" ht="15.75" customHeight="1">
      <c r="A114" s="24">
        <f t="shared" si="2"/>
        <v>46378</v>
      </c>
      <c r="B114" s="21" t="str">
        <f t="shared" si="1"/>
        <v>mar</v>
      </c>
      <c r="C114" s="21">
        <f>IF(OR(WEEKDAY(A114)=1,COUNTIF(FERIADOS,A114)&gt;0),0,1)</f>
        <v>1</v>
      </c>
      <c r="D114" s="21">
        <f t="shared" si="3"/>
        <v>89</v>
      </c>
    </row>
    <row r="115" ht="15.75" customHeight="1">
      <c r="A115" s="24">
        <f t="shared" si="2"/>
        <v>46379</v>
      </c>
      <c r="B115" s="21" t="str">
        <f t="shared" si="1"/>
        <v>mié</v>
      </c>
      <c r="C115" s="21">
        <f>IF(OR(WEEKDAY(A115)=1,COUNTIF(FERIADOS,A115)&gt;0),0,1)</f>
        <v>1</v>
      </c>
      <c r="D115" s="21">
        <f t="shared" si="3"/>
        <v>90</v>
      </c>
    </row>
    <row r="116" ht="15.75" customHeight="1">
      <c r="A116" s="24">
        <f t="shared" si="2"/>
        <v>46380</v>
      </c>
      <c r="B116" s="21" t="str">
        <f t="shared" si="1"/>
        <v>jue</v>
      </c>
      <c r="C116" s="21">
        <f>IF(OR(WEEKDAY(A116)=1,COUNTIF(FERIADOS,A116)&gt;0),0,1)</f>
        <v>1</v>
      </c>
      <c r="D116" s="21">
        <f t="shared" si="3"/>
        <v>91</v>
      </c>
    </row>
    <row r="117" ht="15.75" customHeight="1">
      <c r="A117" s="24">
        <f t="shared" si="2"/>
        <v>46381</v>
      </c>
      <c r="B117" s="21" t="str">
        <f t="shared" si="1"/>
        <v>vie</v>
      </c>
      <c r="C117" s="21">
        <f>IF(OR(WEEKDAY(A117)=1,COUNTIF(FERIADOS,A117)&gt;0),0,1)</f>
        <v>0</v>
      </c>
      <c r="D117" s="21">
        <f t="shared" si="3"/>
        <v>91</v>
      </c>
    </row>
    <row r="118" ht="15.75" customHeight="1">
      <c r="A118" s="24">
        <f t="shared" si="2"/>
        <v>46382</v>
      </c>
      <c r="B118" s="21" t="str">
        <f t="shared" si="1"/>
        <v>sáb</v>
      </c>
      <c r="C118" s="21">
        <f>IF(OR(WEEKDAY(A118)=1,COUNTIF(FERIADOS,A118)&gt;0),0,1)</f>
        <v>1</v>
      </c>
      <c r="D118" s="21">
        <f t="shared" si="3"/>
        <v>92</v>
      </c>
    </row>
    <row r="119" ht="15.75" customHeight="1">
      <c r="A119" s="24">
        <f t="shared" si="2"/>
        <v>46383</v>
      </c>
      <c r="B119" s="21" t="str">
        <f t="shared" si="1"/>
        <v>dom</v>
      </c>
      <c r="C119" s="21">
        <f>IF(OR(WEEKDAY(A119)=1,COUNTIF(FERIADOS,A119)&gt;0),0,1)</f>
        <v>0</v>
      </c>
      <c r="D119" s="21">
        <f t="shared" si="3"/>
        <v>92</v>
      </c>
    </row>
    <row r="120" ht="15.75" customHeight="1">
      <c r="A120" s="24">
        <f t="shared" si="2"/>
        <v>46384</v>
      </c>
      <c r="B120" s="21" t="str">
        <f t="shared" si="1"/>
        <v>lun</v>
      </c>
      <c r="C120" s="21">
        <f>IF(OR(WEEKDAY(A120)=1,COUNTIF(FERIADOS,A120)&gt;0),0,1)</f>
        <v>1</v>
      </c>
      <c r="D120" s="21">
        <f t="shared" si="3"/>
        <v>93</v>
      </c>
    </row>
    <row r="121" ht="15.75" customHeight="1">
      <c r="A121" s="24">
        <f t="shared" si="2"/>
        <v>46385</v>
      </c>
      <c r="B121" s="21" t="str">
        <f t="shared" si="1"/>
        <v>mar</v>
      </c>
      <c r="C121" s="21">
        <f>IF(OR(WEEKDAY(A121)=1,COUNTIF(FERIADOS,A121)&gt;0),0,1)</f>
        <v>1</v>
      </c>
      <c r="D121" s="21">
        <f t="shared" si="3"/>
        <v>94</v>
      </c>
    </row>
    <row r="122" ht="15.75" customHeight="1">
      <c r="A122" s="24">
        <f t="shared" si="2"/>
        <v>46386</v>
      </c>
      <c r="B122" s="21" t="str">
        <f t="shared" si="1"/>
        <v>mié</v>
      </c>
      <c r="C122" s="21">
        <f>IF(OR(WEEKDAY(A122)=1,COUNTIF(FERIADOS,A122)&gt;0),0,1)</f>
        <v>1</v>
      </c>
      <c r="D122" s="21">
        <f t="shared" si="3"/>
        <v>95</v>
      </c>
    </row>
    <row r="123" ht="15.75" customHeight="1">
      <c r="A123" s="24">
        <f t="shared" si="2"/>
        <v>46387</v>
      </c>
      <c r="B123" s="21" t="str">
        <f t="shared" si="1"/>
        <v>jue</v>
      </c>
      <c r="C123" s="21">
        <f>IF(OR(WEEKDAY(A123)=1,COUNTIF(FERIADOS,A123)&gt;0),0,1)</f>
        <v>1</v>
      </c>
      <c r="D123" s="21">
        <f t="shared" si="3"/>
        <v>96</v>
      </c>
    </row>
    <row r="124" ht="15.75" customHeight="1">
      <c r="A124" s="24">
        <f t="shared" si="2"/>
        <v>46388</v>
      </c>
      <c r="B124" s="21" t="str">
        <f t="shared" si="1"/>
        <v>vie</v>
      </c>
      <c r="C124" s="21">
        <f>IF(OR(WEEKDAY(A124)=1,COUNTIF(FERIADOS,A124)&gt;0),0,1)</f>
        <v>0</v>
      </c>
      <c r="D124" s="21">
        <f t="shared" si="3"/>
        <v>96</v>
      </c>
    </row>
    <row r="125" ht="15.75" customHeight="1">
      <c r="A125" s="24">
        <f t="shared" si="2"/>
        <v>46389</v>
      </c>
      <c r="B125" s="21" t="str">
        <f t="shared" si="1"/>
        <v>sáb</v>
      </c>
      <c r="C125" s="21">
        <f>IF(OR(WEEKDAY(A125)=1,COUNTIF(FERIADOS,A125)&gt;0),0,1)</f>
        <v>1</v>
      </c>
      <c r="D125" s="21">
        <f t="shared" si="3"/>
        <v>97</v>
      </c>
    </row>
    <row r="126" ht="15.75" customHeight="1">
      <c r="A126" s="24">
        <f t="shared" si="2"/>
        <v>46390</v>
      </c>
      <c r="B126" s="21" t="str">
        <f t="shared" si="1"/>
        <v>dom</v>
      </c>
      <c r="C126" s="21">
        <f>IF(OR(WEEKDAY(A126)=1,COUNTIF(FERIADOS,A126)&gt;0),0,1)</f>
        <v>0</v>
      </c>
      <c r="D126" s="21">
        <f t="shared" si="3"/>
        <v>97</v>
      </c>
    </row>
    <row r="127" ht="15.75" customHeight="1">
      <c r="A127" s="24">
        <f t="shared" si="2"/>
        <v>46391</v>
      </c>
      <c r="B127" s="21" t="str">
        <f t="shared" si="1"/>
        <v>lun</v>
      </c>
      <c r="C127" s="21">
        <f>IF(OR(WEEKDAY(A127)=1,COUNTIF(FERIADOS,A127)&gt;0),0,1)</f>
        <v>1</v>
      </c>
      <c r="D127" s="21">
        <f t="shared" si="3"/>
        <v>98</v>
      </c>
    </row>
    <row r="128" ht="15.75" customHeight="1">
      <c r="A128" s="24">
        <f t="shared" si="2"/>
        <v>46392</v>
      </c>
      <c r="B128" s="21" t="str">
        <f t="shared" si="1"/>
        <v>mar</v>
      </c>
      <c r="C128" s="21">
        <f>IF(OR(WEEKDAY(A128)=1,COUNTIF(FERIADOS,A128)&gt;0),0,1)</f>
        <v>1</v>
      </c>
      <c r="D128" s="21">
        <f t="shared" si="3"/>
        <v>99</v>
      </c>
    </row>
    <row r="129" ht="15.75" customHeight="1">
      <c r="A129" s="24">
        <f t="shared" si="2"/>
        <v>46393</v>
      </c>
      <c r="B129" s="21" t="str">
        <f t="shared" si="1"/>
        <v>mié</v>
      </c>
      <c r="C129" s="21">
        <f>IF(OR(WEEKDAY(A129)=1,COUNTIF(FERIADOS,A129)&gt;0),0,1)</f>
        <v>1</v>
      </c>
      <c r="D129" s="21">
        <f t="shared" si="3"/>
        <v>100</v>
      </c>
    </row>
    <row r="130" ht="15.75" customHeight="1">
      <c r="A130" s="24">
        <f t="shared" si="2"/>
        <v>46394</v>
      </c>
      <c r="B130" s="21" t="str">
        <f t="shared" si="1"/>
        <v>jue</v>
      </c>
      <c r="C130" s="21">
        <f>IF(OR(WEEKDAY(A130)=1,COUNTIF(FERIADOS,A130)&gt;0),0,1)</f>
        <v>1</v>
      </c>
      <c r="D130" s="21">
        <f t="shared" si="3"/>
        <v>101</v>
      </c>
    </row>
    <row r="131" ht="15.75" customHeight="1">
      <c r="A131" s="24">
        <f t="shared" si="2"/>
        <v>46395</v>
      </c>
      <c r="B131" s="21" t="str">
        <f t="shared" si="1"/>
        <v>vie</v>
      </c>
      <c r="C131" s="21">
        <f>IF(OR(WEEKDAY(A131)=1,COUNTIF(FERIADOS,A131)&gt;0),0,1)</f>
        <v>1</v>
      </c>
      <c r="D131" s="21">
        <f t="shared" si="3"/>
        <v>102</v>
      </c>
    </row>
    <row r="132" ht="15.75" customHeight="1">
      <c r="A132" s="24">
        <f t="shared" si="2"/>
        <v>46396</v>
      </c>
      <c r="B132" s="21" t="str">
        <f t="shared" si="1"/>
        <v>sáb</v>
      </c>
      <c r="C132" s="21">
        <f>IF(OR(WEEKDAY(A132)=1,COUNTIF(FERIADOS,A132)&gt;0),0,1)</f>
        <v>1</v>
      </c>
      <c r="D132" s="21">
        <f t="shared" si="3"/>
        <v>103</v>
      </c>
    </row>
    <row r="133" ht="15.75" customHeight="1">
      <c r="A133" s="24">
        <f t="shared" si="2"/>
        <v>46397</v>
      </c>
      <c r="B133" s="21" t="str">
        <f t="shared" si="1"/>
        <v>dom</v>
      </c>
      <c r="C133" s="21">
        <f>IF(OR(WEEKDAY(A133)=1,COUNTIF(FERIADOS,A133)&gt;0),0,1)</f>
        <v>0</v>
      </c>
      <c r="D133" s="21">
        <f t="shared" si="3"/>
        <v>103</v>
      </c>
    </row>
    <row r="134" ht="15.75" customHeight="1">
      <c r="A134" s="24">
        <f t="shared" si="2"/>
        <v>46398</v>
      </c>
      <c r="B134" s="21" t="str">
        <f t="shared" si="1"/>
        <v>lun</v>
      </c>
      <c r="C134" s="21">
        <f>IF(OR(WEEKDAY(A134)=1,COUNTIF(FERIADOS,A134)&gt;0),0,1)</f>
        <v>1</v>
      </c>
      <c r="D134" s="21">
        <f t="shared" si="3"/>
        <v>104</v>
      </c>
    </row>
    <row r="135" ht="15.75" customHeight="1">
      <c r="A135" s="24">
        <f t="shared" si="2"/>
        <v>46399</v>
      </c>
      <c r="B135" s="21" t="str">
        <f t="shared" si="1"/>
        <v>mar</v>
      </c>
      <c r="C135" s="21">
        <f>IF(OR(WEEKDAY(A135)=1,COUNTIF(FERIADOS,A135)&gt;0),0,1)</f>
        <v>1</v>
      </c>
      <c r="D135" s="21">
        <f t="shared" si="3"/>
        <v>105</v>
      </c>
    </row>
    <row r="136" ht="15.75" customHeight="1">
      <c r="A136" s="24">
        <f t="shared" si="2"/>
        <v>46400</v>
      </c>
      <c r="B136" s="21" t="str">
        <f t="shared" si="1"/>
        <v>mié</v>
      </c>
      <c r="C136" s="21">
        <f>IF(OR(WEEKDAY(A136)=1,COUNTIF(FERIADOS,A136)&gt;0),0,1)</f>
        <v>1</v>
      </c>
      <c r="D136" s="21">
        <f t="shared" si="3"/>
        <v>106</v>
      </c>
    </row>
    <row r="137" ht="15.75" customHeight="1">
      <c r="A137" s="24">
        <f t="shared" si="2"/>
        <v>46401</v>
      </c>
      <c r="B137" s="21" t="str">
        <f t="shared" si="1"/>
        <v>jue</v>
      </c>
      <c r="C137" s="21">
        <f>IF(OR(WEEKDAY(A137)=1,COUNTIF(FERIADOS,A137)&gt;0),0,1)</f>
        <v>1</v>
      </c>
      <c r="D137" s="21">
        <f t="shared" si="3"/>
        <v>107</v>
      </c>
    </row>
    <row r="138" ht="15.75" customHeight="1">
      <c r="A138" s="24">
        <f t="shared" si="2"/>
        <v>46402</v>
      </c>
      <c r="B138" s="21" t="str">
        <f t="shared" si="1"/>
        <v>vie</v>
      </c>
      <c r="C138" s="21">
        <f>IF(OR(WEEKDAY(A138)=1,COUNTIF(FERIADOS,A138)&gt;0),0,1)</f>
        <v>1</v>
      </c>
      <c r="D138" s="21">
        <f t="shared" si="3"/>
        <v>108</v>
      </c>
    </row>
    <row r="139" ht="15.75" customHeight="1">
      <c r="A139" s="24">
        <f t="shared" si="2"/>
        <v>46403</v>
      </c>
      <c r="B139" s="21" t="str">
        <f t="shared" si="1"/>
        <v>sáb</v>
      </c>
      <c r="C139" s="21">
        <f>IF(OR(WEEKDAY(A139)=1,COUNTIF(FERIADOS,A139)&gt;0),0,1)</f>
        <v>1</v>
      </c>
      <c r="D139" s="21">
        <f t="shared" si="3"/>
        <v>109</v>
      </c>
    </row>
    <row r="140" ht="15.75" customHeight="1">
      <c r="A140" s="24">
        <f t="shared" si="2"/>
        <v>46404</v>
      </c>
      <c r="B140" s="21" t="str">
        <f t="shared" si="1"/>
        <v>dom</v>
      </c>
      <c r="C140" s="21">
        <f>IF(OR(WEEKDAY(A140)=1,COUNTIF(FERIADOS,A140)&gt;0),0,1)</f>
        <v>0</v>
      </c>
      <c r="D140" s="21">
        <f t="shared" si="3"/>
        <v>109</v>
      </c>
    </row>
    <row r="141" ht="15.75" customHeight="1">
      <c r="A141" s="24">
        <f t="shared" si="2"/>
        <v>46405</v>
      </c>
      <c r="B141" s="21" t="str">
        <f t="shared" si="1"/>
        <v>lun</v>
      </c>
      <c r="C141" s="21">
        <f>IF(OR(WEEKDAY(A141)=1,COUNTIF(FERIADOS,A141)&gt;0),0,1)</f>
        <v>1</v>
      </c>
      <c r="D141" s="21">
        <f t="shared" si="3"/>
        <v>110</v>
      </c>
    </row>
    <row r="142" ht="15.75" customHeight="1">
      <c r="A142" s="24">
        <f t="shared" si="2"/>
        <v>46406</v>
      </c>
      <c r="B142" s="21" t="str">
        <f t="shared" si="1"/>
        <v>mar</v>
      </c>
      <c r="C142" s="21">
        <f>IF(OR(WEEKDAY(A142)=1,COUNTIF(FERIADOS,A142)&gt;0),0,1)</f>
        <v>1</v>
      </c>
      <c r="D142" s="21">
        <f t="shared" si="3"/>
        <v>111</v>
      </c>
    </row>
    <row r="143" ht="15.75" customHeight="1">
      <c r="A143" s="24">
        <f t="shared" si="2"/>
        <v>46407</v>
      </c>
      <c r="B143" s="21" t="str">
        <f t="shared" si="1"/>
        <v>mié</v>
      </c>
      <c r="C143" s="21">
        <f>IF(OR(WEEKDAY(A143)=1,COUNTIF(FERIADOS,A143)&gt;0),0,1)</f>
        <v>1</v>
      </c>
      <c r="D143" s="21">
        <f t="shared" si="3"/>
        <v>112</v>
      </c>
    </row>
    <row r="144" ht="15.75" customHeight="1">
      <c r="A144" s="24">
        <f t="shared" si="2"/>
        <v>46408</v>
      </c>
      <c r="B144" s="21" t="str">
        <f t="shared" si="1"/>
        <v>jue</v>
      </c>
      <c r="C144" s="21">
        <f>IF(OR(WEEKDAY(A144)=1,COUNTIF(FERIADOS,A144)&gt;0),0,1)</f>
        <v>1</v>
      </c>
      <c r="D144" s="21">
        <f t="shared" si="3"/>
        <v>113</v>
      </c>
    </row>
    <row r="145" ht="15.75" customHeight="1">
      <c r="A145" s="24">
        <f t="shared" si="2"/>
        <v>46409</v>
      </c>
      <c r="B145" s="21" t="str">
        <f t="shared" si="1"/>
        <v>vie</v>
      </c>
      <c r="C145" s="21">
        <f>IF(OR(WEEKDAY(A145)=1,COUNTIF(FERIADOS,A145)&gt;0),0,1)</f>
        <v>1</v>
      </c>
      <c r="D145" s="21">
        <f t="shared" si="3"/>
        <v>114</v>
      </c>
    </row>
    <row r="146" ht="15.75" customHeight="1">
      <c r="A146" s="24">
        <f t="shared" si="2"/>
        <v>46410</v>
      </c>
      <c r="B146" s="21" t="str">
        <f t="shared" si="1"/>
        <v>sáb</v>
      </c>
      <c r="C146" s="21">
        <f>IF(OR(WEEKDAY(A146)=1,COUNTIF(FERIADOS,A146)&gt;0),0,1)</f>
        <v>1</v>
      </c>
      <c r="D146" s="21">
        <f t="shared" si="3"/>
        <v>115</v>
      </c>
    </row>
    <row r="147" ht="15.75" customHeight="1">
      <c r="A147" s="24">
        <f t="shared" si="2"/>
        <v>46411</v>
      </c>
      <c r="B147" s="21" t="str">
        <f t="shared" si="1"/>
        <v>dom</v>
      </c>
      <c r="C147" s="21">
        <f>IF(OR(WEEKDAY(A147)=1,COUNTIF(FERIADOS,A147)&gt;0),0,1)</f>
        <v>0</v>
      </c>
      <c r="D147" s="21">
        <f t="shared" si="3"/>
        <v>115</v>
      </c>
    </row>
    <row r="148" ht="15.75" customHeight="1">
      <c r="A148" s="24">
        <f t="shared" si="2"/>
        <v>46412</v>
      </c>
      <c r="B148" s="21" t="str">
        <f t="shared" si="1"/>
        <v>lun</v>
      </c>
      <c r="C148" s="21">
        <f>IF(OR(WEEKDAY(A148)=1,COUNTIF(FERIADOS,A148)&gt;0),0,1)</f>
        <v>1</v>
      </c>
      <c r="D148" s="21">
        <f t="shared" si="3"/>
        <v>116</v>
      </c>
    </row>
    <row r="149" ht="15.75" customHeight="1">
      <c r="A149" s="24">
        <f t="shared" si="2"/>
        <v>46413</v>
      </c>
      <c r="B149" s="21" t="str">
        <f t="shared" si="1"/>
        <v>mar</v>
      </c>
      <c r="C149" s="21">
        <f>IF(OR(WEEKDAY(A149)=1,COUNTIF(FERIADOS,A149)&gt;0),0,1)</f>
        <v>1</v>
      </c>
      <c r="D149" s="21">
        <f t="shared" si="3"/>
        <v>117</v>
      </c>
    </row>
    <row r="150" ht="15.75" customHeight="1">
      <c r="A150" s="24">
        <f t="shared" si="2"/>
        <v>46414</v>
      </c>
      <c r="B150" s="21" t="str">
        <f t="shared" si="1"/>
        <v>mié</v>
      </c>
      <c r="C150" s="21">
        <f>IF(OR(WEEKDAY(A150)=1,COUNTIF(FERIADOS,A150)&gt;0),0,1)</f>
        <v>1</v>
      </c>
      <c r="D150" s="21">
        <f t="shared" si="3"/>
        <v>118</v>
      </c>
    </row>
    <row r="151" ht="15.75" customHeight="1">
      <c r="A151" s="24">
        <f t="shared" si="2"/>
        <v>46415</v>
      </c>
      <c r="B151" s="21" t="str">
        <f t="shared" si="1"/>
        <v>jue</v>
      </c>
      <c r="C151" s="21">
        <f>IF(OR(WEEKDAY(A151)=1,COUNTIF(FERIADOS,A151)&gt;0),0,1)</f>
        <v>1</v>
      </c>
      <c r="D151" s="21">
        <f t="shared" si="3"/>
        <v>119</v>
      </c>
    </row>
    <row r="152" ht="15.75" customHeight="1">
      <c r="A152" s="24">
        <f t="shared" si="2"/>
        <v>46416</v>
      </c>
      <c r="B152" s="21" t="str">
        <f t="shared" si="1"/>
        <v>vie</v>
      </c>
      <c r="C152" s="21">
        <f>IF(OR(WEEKDAY(A152)=1,COUNTIF(FERIADOS,A152)&gt;0),0,1)</f>
        <v>1</v>
      </c>
      <c r="D152" s="21">
        <f t="shared" si="3"/>
        <v>120</v>
      </c>
    </row>
    <row r="153" ht="15.75" customHeight="1">
      <c r="A153" s="24">
        <f t="shared" si="2"/>
        <v>46417</v>
      </c>
      <c r="B153" s="21" t="str">
        <f t="shared" si="1"/>
        <v>sáb</v>
      </c>
      <c r="C153" s="21">
        <f>IF(OR(WEEKDAY(A153)=1,COUNTIF(FERIADOS,A153)&gt;0),0,1)</f>
        <v>1</v>
      </c>
      <c r="D153" s="21">
        <f t="shared" si="3"/>
        <v>121</v>
      </c>
    </row>
    <row r="154" ht="15.75" customHeight="1">
      <c r="A154" s="24">
        <f t="shared" si="2"/>
        <v>46418</v>
      </c>
      <c r="B154" s="21" t="str">
        <f t="shared" si="1"/>
        <v>dom</v>
      </c>
      <c r="C154" s="21">
        <f>IF(OR(WEEKDAY(A154)=1,COUNTIF(FERIADOS,A154)&gt;0),0,1)</f>
        <v>0</v>
      </c>
      <c r="D154" s="21">
        <f t="shared" si="3"/>
        <v>121</v>
      </c>
    </row>
    <row r="155" ht="15.75" customHeight="1">
      <c r="A155" s="24">
        <f t="shared" si="2"/>
        <v>46419</v>
      </c>
      <c r="B155" s="21" t="str">
        <f t="shared" si="1"/>
        <v>lun</v>
      </c>
      <c r="C155" s="21">
        <f>IF(OR(WEEKDAY(A155)=1,COUNTIF(FERIADOS,A155)&gt;0),0,1)</f>
        <v>1</v>
      </c>
      <c r="D155" s="21">
        <f t="shared" si="3"/>
        <v>122</v>
      </c>
    </row>
    <row r="156" ht="15.75" customHeight="1">
      <c r="A156" s="24">
        <f t="shared" si="2"/>
        <v>46420</v>
      </c>
      <c r="B156" s="21" t="str">
        <f t="shared" si="1"/>
        <v>mar</v>
      </c>
      <c r="C156" s="21">
        <f>IF(OR(WEEKDAY(A156)=1,COUNTIF(FERIADOS,A156)&gt;0),0,1)</f>
        <v>1</v>
      </c>
      <c r="D156" s="21">
        <f t="shared" si="3"/>
        <v>123</v>
      </c>
    </row>
    <row r="157" ht="15.75" customHeight="1">
      <c r="A157" s="24">
        <f t="shared" si="2"/>
        <v>46421</v>
      </c>
      <c r="B157" s="21" t="str">
        <f t="shared" si="1"/>
        <v>mié</v>
      </c>
      <c r="C157" s="21">
        <f>IF(OR(WEEKDAY(A157)=1,COUNTIF(FERIADOS,A157)&gt;0),0,1)</f>
        <v>1</v>
      </c>
      <c r="D157" s="21">
        <f t="shared" si="3"/>
        <v>124</v>
      </c>
    </row>
    <row r="158" ht="15.75" customHeight="1">
      <c r="A158" s="24">
        <f t="shared" si="2"/>
        <v>46422</v>
      </c>
      <c r="B158" s="21" t="str">
        <f t="shared" si="1"/>
        <v>jue</v>
      </c>
      <c r="C158" s="21">
        <f>IF(OR(WEEKDAY(A158)=1,COUNTIF(FERIADOS,A158)&gt;0),0,1)</f>
        <v>1</v>
      </c>
      <c r="D158" s="21">
        <f t="shared" si="3"/>
        <v>125</v>
      </c>
    </row>
    <row r="159" ht="15.75" customHeight="1">
      <c r="A159" s="24">
        <f t="shared" si="2"/>
        <v>46423</v>
      </c>
      <c r="B159" s="21" t="str">
        <f t="shared" si="1"/>
        <v>vie</v>
      </c>
      <c r="C159" s="21">
        <f>IF(OR(WEEKDAY(A159)=1,COUNTIF(FERIADOS,A159)&gt;0),0,1)</f>
        <v>1</v>
      </c>
      <c r="D159" s="21">
        <f t="shared" si="3"/>
        <v>126</v>
      </c>
    </row>
    <row r="160" ht="15.75" customHeight="1">
      <c r="A160" s="24">
        <f t="shared" si="2"/>
        <v>46424</v>
      </c>
      <c r="B160" s="21" t="str">
        <f t="shared" si="1"/>
        <v>sáb</v>
      </c>
      <c r="C160" s="21">
        <f>IF(OR(WEEKDAY(A160)=1,COUNTIF(FERIADOS,A160)&gt;0),0,1)</f>
        <v>1</v>
      </c>
      <c r="D160" s="21">
        <f t="shared" si="3"/>
        <v>127</v>
      </c>
    </row>
    <row r="161" ht="15.75" customHeight="1">
      <c r="A161" s="24">
        <f t="shared" si="2"/>
        <v>46425</v>
      </c>
      <c r="B161" s="21" t="str">
        <f t="shared" si="1"/>
        <v>dom</v>
      </c>
      <c r="C161" s="21">
        <f>IF(OR(WEEKDAY(A161)=1,COUNTIF(FERIADOS,A161)&gt;0),0,1)</f>
        <v>0</v>
      </c>
      <c r="D161" s="21">
        <f t="shared" si="3"/>
        <v>127</v>
      </c>
    </row>
    <row r="162" ht="15.75" customHeight="1">
      <c r="A162" s="24">
        <f t="shared" si="2"/>
        <v>46426</v>
      </c>
      <c r="B162" s="21" t="str">
        <f t="shared" si="1"/>
        <v>lun</v>
      </c>
      <c r="C162" s="21">
        <f>IF(OR(WEEKDAY(A162)=1,COUNTIF(FERIADOS,A162)&gt;0),0,1)</f>
        <v>1</v>
      </c>
      <c r="D162" s="21">
        <f t="shared" si="3"/>
        <v>128</v>
      </c>
    </row>
    <row r="163" ht="15.75" customHeight="1">
      <c r="A163" s="24">
        <f t="shared" si="2"/>
        <v>46427</v>
      </c>
      <c r="B163" s="21" t="str">
        <f t="shared" si="1"/>
        <v>mar</v>
      </c>
      <c r="C163" s="21">
        <f>IF(OR(WEEKDAY(A163)=1,COUNTIF(FERIADOS,A163)&gt;0),0,1)</f>
        <v>1</v>
      </c>
      <c r="D163" s="21">
        <f t="shared" si="3"/>
        <v>129</v>
      </c>
    </row>
    <row r="164" ht="15.75" customHeight="1">
      <c r="A164" s="24">
        <f t="shared" si="2"/>
        <v>46428</v>
      </c>
      <c r="B164" s="21" t="str">
        <f t="shared" si="1"/>
        <v>mié</v>
      </c>
      <c r="C164" s="21">
        <f>IF(OR(WEEKDAY(A164)=1,COUNTIF(FERIADOS,A164)&gt;0),0,1)</f>
        <v>1</v>
      </c>
      <c r="D164" s="21">
        <f t="shared" si="3"/>
        <v>130</v>
      </c>
    </row>
    <row r="165" ht="15.75" customHeight="1">
      <c r="A165" s="24">
        <f t="shared" si="2"/>
        <v>46429</v>
      </c>
      <c r="B165" s="21" t="str">
        <f t="shared" si="1"/>
        <v>jue</v>
      </c>
      <c r="C165" s="21">
        <f>IF(OR(WEEKDAY(A165)=1,COUNTIF(FERIADOS,A165)&gt;0),0,1)</f>
        <v>1</v>
      </c>
      <c r="D165" s="21">
        <f t="shared" si="3"/>
        <v>131</v>
      </c>
    </row>
    <row r="166" ht="15.75" customHeight="1">
      <c r="A166" s="24">
        <f t="shared" si="2"/>
        <v>46430</v>
      </c>
      <c r="B166" s="21" t="str">
        <f t="shared" si="1"/>
        <v>vie</v>
      </c>
      <c r="C166" s="21">
        <f>IF(OR(WEEKDAY(A166)=1,COUNTIF(FERIADOS,A166)&gt;0),0,1)</f>
        <v>1</v>
      </c>
      <c r="D166" s="21">
        <f t="shared" si="3"/>
        <v>132</v>
      </c>
    </row>
    <row r="167" ht="15.75" customHeight="1">
      <c r="A167" s="24">
        <f t="shared" si="2"/>
        <v>46431</v>
      </c>
      <c r="B167" s="21" t="str">
        <f t="shared" si="1"/>
        <v>sáb</v>
      </c>
      <c r="C167" s="21">
        <f>IF(OR(WEEKDAY(A167)=1,COUNTIF(FERIADOS,A167)&gt;0),0,1)</f>
        <v>1</v>
      </c>
      <c r="D167" s="21">
        <f t="shared" si="3"/>
        <v>133</v>
      </c>
    </row>
    <row r="168" ht="15.75" customHeight="1">
      <c r="A168" s="24">
        <f t="shared" si="2"/>
        <v>46432</v>
      </c>
      <c r="B168" s="21" t="str">
        <f t="shared" si="1"/>
        <v>dom</v>
      </c>
      <c r="C168" s="21">
        <f>IF(OR(WEEKDAY(A168)=1,COUNTIF(FERIADOS,A168)&gt;0),0,1)</f>
        <v>0</v>
      </c>
      <c r="D168" s="21">
        <f t="shared" si="3"/>
        <v>133</v>
      </c>
    </row>
    <row r="169" ht="15.75" customHeight="1">
      <c r="A169" s="24">
        <f t="shared" si="2"/>
        <v>46433</v>
      </c>
      <c r="B169" s="21" t="str">
        <f t="shared" si="1"/>
        <v>lun</v>
      </c>
      <c r="C169" s="21">
        <f>IF(OR(WEEKDAY(A169)=1,COUNTIF(FERIADOS,A169)&gt;0),0,1)</f>
        <v>1</v>
      </c>
      <c r="D169" s="21">
        <f t="shared" si="3"/>
        <v>134</v>
      </c>
    </row>
    <row r="170" ht="15.75" customHeight="1">
      <c r="A170" s="24">
        <f t="shared" si="2"/>
        <v>46434</v>
      </c>
      <c r="B170" s="21" t="str">
        <f t="shared" si="1"/>
        <v>mar</v>
      </c>
      <c r="C170" s="21">
        <f>IF(OR(WEEKDAY(A170)=1,COUNTIF(FERIADOS,A170)&gt;0),0,1)</f>
        <v>1</v>
      </c>
      <c r="D170" s="21">
        <f t="shared" si="3"/>
        <v>135</v>
      </c>
    </row>
    <row r="171" ht="15.75" customHeight="1">
      <c r="A171" s="24">
        <f t="shared" si="2"/>
        <v>46435</v>
      </c>
      <c r="B171" s="21" t="str">
        <f t="shared" si="1"/>
        <v>mié</v>
      </c>
      <c r="C171" s="21">
        <f>IF(OR(WEEKDAY(A171)=1,COUNTIF(FERIADOS,A171)&gt;0),0,1)</f>
        <v>1</v>
      </c>
      <c r="D171" s="21">
        <f t="shared" si="3"/>
        <v>136</v>
      </c>
    </row>
    <row r="172" ht="15.75" customHeight="1">
      <c r="A172" s="24">
        <f t="shared" si="2"/>
        <v>46436</v>
      </c>
      <c r="B172" s="21" t="str">
        <f t="shared" si="1"/>
        <v>jue</v>
      </c>
      <c r="C172" s="21">
        <f>IF(OR(WEEKDAY(A172)=1,COUNTIF(FERIADOS,A172)&gt;0),0,1)</f>
        <v>1</v>
      </c>
      <c r="D172" s="21">
        <f t="shared" si="3"/>
        <v>137</v>
      </c>
    </row>
    <row r="173" ht="15.75" customHeight="1">
      <c r="A173" s="24">
        <f t="shared" si="2"/>
        <v>46437</v>
      </c>
      <c r="B173" s="21" t="str">
        <f t="shared" si="1"/>
        <v>vie</v>
      </c>
      <c r="C173" s="21">
        <f>IF(OR(WEEKDAY(A173)=1,COUNTIF(FERIADOS,A173)&gt;0),0,1)</f>
        <v>1</v>
      </c>
      <c r="D173" s="21">
        <f t="shared" si="3"/>
        <v>138</v>
      </c>
    </row>
    <row r="174" ht="15.75" customHeight="1">
      <c r="A174" s="24">
        <f t="shared" si="2"/>
        <v>46438</v>
      </c>
      <c r="B174" s="21" t="str">
        <f t="shared" si="1"/>
        <v>sáb</v>
      </c>
      <c r="C174" s="21">
        <f>IF(OR(WEEKDAY(A174)=1,COUNTIF(FERIADOS,A174)&gt;0),0,1)</f>
        <v>1</v>
      </c>
      <c r="D174" s="21">
        <f t="shared" si="3"/>
        <v>139</v>
      </c>
    </row>
    <row r="175" ht="15.75" customHeight="1">
      <c r="A175" s="24">
        <f t="shared" si="2"/>
        <v>46439</v>
      </c>
      <c r="B175" s="21" t="str">
        <f t="shared" si="1"/>
        <v>dom</v>
      </c>
      <c r="C175" s="21">
        <f>IF(OR(WEEKDAY(A175)=1,COUNTIF(FERIADOS,A175)&gt;0),0,1)</f>
        <v>0</v>
      </c>
      <c r="D175" s="21">
        <f t="shared" si="3"/>
        <v>139</v>
      </c>
    </row>
    <row r="176" ht="15.75" customHeight="1">
      <c r="A176" s="24">
        <f t="shared" si="2"/>
        <v>46440</v>
      </c>
      <c r="B176" s="21" t="str">
        <f t="shared" si="1"/>
        <v>lun</v>
      </c>
      <c r="C176" s="21">
        <f>IF(OR(WEEKDAY(A176)=1,COUNTIF(FERIADOS,A176)&gt;0),0,1)</f>
        <v>1</v>
      </c>
      <c r="D176" s="21">
        <f t="shared" si="3"/>
        <v>140</v>
      </c>
    </row>
    <row r="177" ht="15.75" customHeight="1">
      <c r="A177" s="24">
        <f t="shared" si="2"/>
        <v>46441</v>
      </c>
      <c r="B177" s="21" t="str">
        <f t="shared" si="1"/>
        <v>mar</v>
      </c>
      <c r="C177" s="21">
        <f>IF(OR(WEEKDAY(A177)=1,COUNTIF(FERIADOS,A177)&gt;0),0,1)</f>
        <v>1</v>
      </c>
      <c r="D177" s="21">
        <f t="shared" si="3"/>
        <v>141</v>
      </c>
    </row>
    <row r="178" ht="15.75" customHeight="1">
      <c r="A178" s="24">
        <f t="shared" si="2"/>
        <v>46442</v>
      </c>
      <c r="B178" s="21" t="str">
        <f t="shared" si="1"/>
        <v>mié</v>
      </c>
      <c r="C178" s="21">
        <f>IF(OR(WEEKDAY(A178)=1,COUNTIF(FERIADOS,A178)&gt;0),0,1)</f>
        <v>1</v>
      </c>
      <c r="D178" s="21">
        <f t="shared" si="3"/>
        <v>142</v>
      </c>
    </row>
    <row r="179" ht="15.75" customHeight="1">
      <c r="A179" s="24">
        <f t="shared" si="2"/>
        <v>46443</v>
      </c>
      <c r="B179" s="21" t="str">
        <f t="shared" si="1"/>
        <v>jue</v>
      </c>
      <c r="C179" s="21">
        <f>IF(OR(WEEKDAY(A179)=1,COUNTIF(FERIADOS,A179)&gt;0),0,1)</f>
        <v>1</v>
      </c>
      <c r="D179" s="21">
        <f t="shared" si="3"/>
        <v>143</v>
      </c>
    </row>
    <row r="180" ht="15.75" customHeight="1">
      <c r="A180" s="24">
        <f t="shared" si="2"/>
        <v>46444</v>
      </c>
      <c r="B180" s="21" t="str">
        <f t="shared" si="1"/>
        <v>vie</v>
      </c>
      <c r="C180" s="21">
        <f>IF(OR(WEEKDAY(A180)=1,COUNTIF(FERIADOS,A180)&gt;0),0,1)</f>
        <v>1</v>
      </c>
      <c r="D180" s="21">
        <f t="shared" si="3"/>
        <v>144</v>
      </c>
    </row>
    <row r="181" ht="15.75" customHeight="1">
      <c r="A181" s="24">
        <f t="shared" si="2"/>
        <v>46445</v>
      </c>
      <c r="B181" s="21" t="str">
        <f t="shared" si="1"/>
        <v>sáb</v>
      </c>
      <c r="C181" s="21">
        <f>IF(OR(WEEKDAY(A181)=1,COUNTIF(FERIADOS,A181)&gt;0),0,1)</f>
        <v>1</v>
      </c>
      <c r="D181" s="21">
        <f t="shared" si="3"/>
        <v>145</v>
      </c>
    </row>
    <row r="182" ht="15.75" customHeight="1">
      <c r="A182" s="24">
        <f t="shared" si="2"/>
        <v>46446</v>
      </c>
      <c r="B182" s="21" t="str">
        <f t="shared" si="1"/>
        <v>dom</v>
      </c>
      <c r="C182" s="21">
        <f>IF(OR(WEEKDAY(A182)=1,COUNTIF(FERIADOS,A182)&gt;0),0,1)</f>
        <v>0</v>
      </c>
      <c r="D182" s="21">
        <f t="shared" si="3"/>
        <v>145</v>
      </c>
    </row>
    <row r="183" ht="15.75" customHeight="1">
      <c r="A183" s="24">
        <f t="shared" si="2"/>
        <v>46447</v>
      </c>
      <c r="B183" s="21" t="str">
        <f t="shared" si="1"/>
        <v>lun</v>
      </c>
      <c r="C183" s="21">
        <f>IF(OR(WEEKDAY(A183)=1,COUNTIF(FERIADOS,A183)&gt;0),0,1)</f>
        <v>1</v>
      </c>
      <c r="D183" s="21">
        <f t="shared" si="3"/>
        <v>146</v>
      </c>
    </row>
    <row r="184" ht="15.75" customHeight="1">
      <c r="A184" s="24">
        <f t="shared" si="2"/>
        <v>46448</v>
      </c>
      <c r="B184" s="21" t="str">
        <f t="shared" si="1"/>
        <v>mar</v>
      </c>
      <c r="C184" s="21">
        <f>IF(OR(WEEKDAY(A184)=1,COUNTIF(FERIADOS,A184)&gt;0),0,1)</f>
        <v>1</v>
      </c>
      <c r="D184" s="21">
        <f t="shared" si="3"/>
        <v>147</v>
      </c>
    </row>
    <row r="185" ht="15.75" customHeight="1">
      <c r="A185" s="24">
        <f t="shared" si="2"/>
        <v>46449</v>
      </c>
      <c r="B185" s="21" t="str">
        <f t="shared" si="1"/>
        <v>mié</v>
      </c>
      <c r="C185" s="21">
        <f>IF(OR(WEEKDAY(A185)=1,COUNTIF(FERIADOS,A185)&gt;0),0,1)</f>
        <v>1</v>
      </c>
      <c r="D185" s="21">
        <f t="shared" si="3"/>
        <v>148</v>
      </c>
    </row>
    <row r="186" ht="15.75" customHeight="1">
      <c r="A186" s="24">
        <f t="shared" si="2"/>
        <v>46450</v>
      </c>
      <c r="B186" s="21" t="str">
        <f t="shared" si="1"/>
        <v>jue</v>
      </c>
      <c r="C186" s="21">
        <f>IF(OR(WEEKDAY(A186)=1,COUNTIF(FERIADOS,A186)&gt;0),0,1)</f>
        <v>1</v>
      </c>
      <c r="D186" s="21">
        <f t="shared" si="3"/>
        <v>149</v>
      </c>
    </row>
    <row r="187" ht="15.75" customHeight="1">
      <c r="A187" s="24">
        <f t="shared" si="2"/>
        <v>46451</v>
      </c>
      <c r="B187" s="21" t="str">
        <f t="shared" si="1"/>
        <v>vie</v>
      </c>
      <c r="C187" s="21">
        <f>IF(OR(WEEKDAY(A187)=1,COUNTIF(FERIADOS,A187)&gt;0),0,1)</f>
        <v>1</v>
      </c>
      <c r="D187" s="21">
        <f t="shared" si="3"/>
        <v>150</v>
      </c>
    </row>
    <row r="188" ht="15.75" customHeight="1">
      <c r="A188" s="24">
        <f t="shared" si="2"/>
        <v>46452</v>
      </c>
      <c r="B188" s="21" t="str">
        <f t="shared" si="1"/>
        <v>sáb</v>
      </c>
      <c r="C188" s="21">
        <f>IF(OR(WEEKDAY(A188)=1,COUNTIF(FERIADOS,A188)&gt;0),0,1)</f>
        <v>1</v>
      </c>
      <c r="D188" s="21">
        <f t="shared" si="3"/>
        <v>151</v>
      </c>
    </row>
    <row r="189" ht="15.75" customHeight="1">
      <c r="A189" s="24">
        <f t="shared" si="2"/>
        <v>46453</v>
      </c>
      <c r="B189" s="21" t="str">
        <f t="shared" si="1"/>
        <v>dom</v>
      </c>
      <c r="C189" s="21">
        <f>IF(OR(WEEKDAY(A189)=1,COUNTIF(FERIADOS,A189)&gt;0),0,1)</f>
        <v>0</v>
      </c>
      <c r="D189" s="21">
        <f t="shared" si="3"/>
        <v>151</v>
      </c>
    </row>
    <row r="190" ht="15.75" customHeight="1">
      <c r="A190" s="24">
        <f t="shared" si="2"/>
        <v>46454</v>
      </c>
      <c r="B190" s="21" t="str">
        <f t="shared" si="1"/>
        <v>lun</v>
      </c>
      <c r="C190" s="21">
        <f>IF(OR(WEEKDAY(A190)=1,COUNTIF(FERIADOS,A190)&gt;0),0,1)</f>
        <v>1</v>
      </c>
      <c r="D190" s="21">
        <f t="shared" si="3"/>
        <v>152</v>
      </c>
    </row>
    <row r="191" ht="15.75" customHeight="1">
      <c r="A191" s="24">
        <f t="shared" si="2"/>
        <v>46455</v>
      </c>
      <c r="B191" s="21" t="str">
        <f t="shared" si="1"/>
        <v>mar</v>
      </c>
      <c r="C191" s="21">
        <f>IF(OR(WEEKDAY(A191)=1,COUNTIF(FERIADOS,A191)&gt;0),0,1)</f>
        <v>1</v>
      </c>
      <c r="D191" s="21">
        <f t="shared" si="3"/>
        <v>153</v>
      </c>
    </row>
    <row r="192" ht="15.75" customHeight="1">
      <c r="A192" s="24">
        <f t="shared" si="2"/>
        <v>46456</v>
      </c>
      <c r="B192" s="21" t="str">
        <f t="shared" si="1"/>
        <v>mié</v>
      </c>
      <c r="C192" s="21">
        <f>IF(OR(WEEKDAY(A192)=1,COUNTIF(FERIADOS,A192)&gt;0),0,1)</f>
        <v>1</v>
      </c>
      <c r="D192" s="21">
        <f t="shared" si="3"/>
        <v>154</v>
      </c>
    </row>
    <row r="193" ht="15.75" customHeight="1">
      <c r="A193" s="24">
        <f t="shared" si="2"/>
        <v>46457</v>
      </c>
      <c r="B193" s="21" t="str">
        <f t="shared" si="1"/>
        <v>jue</v>
      </c>
      <c r="C193" s="21">
        <f>IF(OR(WEEKDAY(A193)=1,COUNTIF(FERIADOS,A193)&gt;0),0,1)</f>
        <v>1</v>
      </c>
      <c r="D193" s="21">
        <f t="shared" si="3"/>
        <v>155</v>
      </c>
    </row>
    <row r="194" ht="15.75" customHeight="1">
      <c r="A194" s="24">
        <f t="shared" si="2"/>
        <v>46458</v>
      </c>
      <c r="B194" s="21" t="str">
        <f t="shared" si="1"/>
        <v>vie</v>
      </c>
      <c r="C194" s="21">
        <f>IF(OR(WEEKDAY(A194)=1,COUNTIF(FERIADOS,A194)&gt;0),0,1)</f>
        <v>1</v>
      </c>
      <c r="D194" s="21">
        <f t="shared" si="3"/>
        <v>156</v>
      </c>
    </row>
    <row r="195" ht="15.75" customHeight="1">
      <c r="A195" s="24">
        <f t="shared" si="2"/>
        <v>46459</v>
      </c>
      <c r="B195" s="21" t="str">
        <f t="shared" si="1"/>
        <v>sáb</v>
      </c>
      <c r="C195" s="21">
        <f>IF(OR(WEEKDAY(A195)=1,COUNTIF(FERIADOS,A195)&gt;0),0,1)</f>
        <v>1</v>
      </c>
      <c r="D195" s="21">
        <f t="shared" si="3"/>
        <v>157</v>
      </c>
    </row>
    <row r="196" ht="15.75" customHeight="1">
      <c r="A196" s="24">
        <f t="shared" si="2"/>
        <v>46460</v>
      </c>
      <c r="B196" s="21" t="str">
        <f t="shared" si="1"/>
        <v>dom</v>
      </c>
      <c r="C196" s="21">
        <f>IF(OR(WEEKDAY(A196)=1,COUNTIF(FERIADOS,A196)&gt;0),0,1)</f>
        <v>0</v>
      </c>
      <c r="D196" s="21">
        <f t="shared" si="3"/>
        <v>157</v>
      </c>
    </row>
    <row r="197" ht="15.75" customHeight="1">
      <c r="A197" s="24">
        <f t="shared" si="2"/>
        <v>46461</v>
      </c>
      <c r="B197" s="21" t="str">
        <f t="shared" si="1"/>
        <v>lun</v>
      </c>
      <c r="C197" s="21">
        <f>IF(OR(WEEKDAY(A197)=1,COUNTIF(FERIADOS,A197)&gt;0),0,1)</f>
        <v>1</v>
      </c>
      <c r="D197" s="21">
        <f t="shared" si="3"/>
        <v>158</v>
      </c>
    </row>
    <row r="198" ht="15.75" customHeight="1">
      <c r="A198" s="24">
        <f t="shared" si="2"/>
        <v>46462</v>
      </c>
      <c r="B198" s="21" t="str">
        <f t="shared" si="1"/>
        <v>mar</v>
      </c>
      <c r="C198" s="21">
        <f>IF(OR(WEEKDAY(A198)=1,COUNTIF(FERIADOS,A198)&gt;0),0,1)</f>
        <v>1</v>
      </c>
      <c r="D198" s="21">
        <f t="shared" si="3"/>
        <v>159</v>
      </c>
    </row>
    <row r="199" ht="15.75" customHeight="1">
      <c r="A199" s="24">
        <f t="shared" si="2"/>
        <v>46463</v>
      </c>
      <c r="B199" s="21" t="str">
        <f t="shared" si="1"/>
        <v>mié</v>
      </c>
      <c r="C199" s="21">
        <f>IF(OR(WEEKDAY(A199)=1,COUNTIF(FERIADOS,A199)&gt;0),0,1)</f>
        <v>1</v>
      </c>
      <c r="D199" s="21">
        <f t="shared" si="3"/>
        <v>160</v>
      </c>
    </row>
    <row r="200" ht="15.75" customHeight="1">
      <c r="A200" s="24">
        <f t="shared" si="2"/>
        <v>46464</v>
      </c>
      <c r="B200" s="21" t="str">
        <f t="shared" si="1"/>
        <v>jue</v>
      </c>
      <c r="C200" s="21">
        <f>IF(OR(WEEKDAY(A200)=1,COUNTIF(FERIADOS,A200)&gt;0),0,1)</f>
        <v>1</v>
      </c>
      <c r="D200" s="21">
        <f t="shared" si="3"/>
        <v>161</v>
      </c>
    </row>
    <row r="201" ht="15.75" customHeight="1">
      <c r="A201" s="24">
        <f t="shared" si="2"/>
        <v>46465</v>
      </c>
      <c r="B201" s="21" t="str">
        <f t="shared" si="1"/>
        <v>vie</v>
      </c>
      <c r="C201" s="21">
        <f>IF(OR(WEEKDAY(A201)=1,COUNTIF(FERIADOS,A201)&gt;0),0,1)</f>
        <v>1</v>
      </c>
      <c r="D201" s="21">
        <f t="shared" si="3"/>
        <v>162</v>
      </c>
    </row>
    <row r="202" ht="15.75" customHeight="1">
      <c r="A202" s="24">
        <f t="shared" si="2"/>
        <v>46466</v>
      </c>
      <c r="B202" s="21" t="str">
        <f t="shared" si="1"/>
        <v>sáb</v>
      </c>
      <c r="C202" s="21">
        <f>IF(OR(WEEKDAY(A202)=1,COUNTIF(FERIADOS,A202)&gt;0),0,1)</f>
        <v>1</v>
      </c>
      <c r="D202" s="21">
        <f t="shared" si="3"/>
        <v>163</v>
      </c>
    </row>
    <row r="203" ht="15.75" customHeight="1">
      <c r="A203" s="24">
        <f t="shared" si="2"/>
        <v>46467</v>
      </c>
      <c r="B203" s="21" t="str">
        <f t="shared" si="1"/>
        <v>dom</v>
      </c>
      <c r="C203" s="21">
        <f>IF(OR(WEEKDAY(A203)=1,COUNTIF(FERIADOS,A203)&gt;0),0,1)</f>
        <v>0</v>
      </c>
      <c r="D203" s="21">
        <f t="shared" si="3"/>
        <v>163</v>
      </c>
    </row>
    <row r="204" ht="15.75" customHeight="1">
      <c r="A204" s="24">
        <f t="shared" si="2"/>
        <v>46468</v>
      </c>
      <c r="B204" s="21" t="str">
        <f t="shared" si="1"/>
        <v>lun</v>
      </c>
      <c r="C204" s="21">
        <f>IF(OR(WEEKDAY(A204)=1,COUNTIF(FERIADOS,A204)&gt;0),0,1)</f>
        <v>1</v>
      </c>
      <c r="D204" s="21">
        <f t="shared" si="3"/>
        <v>164</v>
      </c>
    </row>
    <row r="205" ht="15.75" customHeight="1">
      <c r="A205" s="24">
        <f t="shared" si="2"/>
        <v>46469</v>
      </c>
      <c r="B205" s="21" t="str">
        <f t="shared" si="1"/>
        <v>mar</v>
      </c>
      <c r="C205" s="21">
        <f>IF(OR(WEEKDAY(A205)=1,COUNTIF(FERIADOS,A205)&gt;0),0,1)</f>
        <v>1</v>
      </c>
      <c r="D205" s="21">
        <f t="shared" si="3"/>
        <v>165</v>
      </c>
    </row>
    <row r="206" ht="15.75" customHeight="1">
      <c r="A206" s="24">
        <f t="shared" si="2"/>
        <v>46470</v>
      </c>
      <c r="B206" s="21" t="str">
        <f t="shared" si="1"/>
        <v>mié</v>
      </c>
      <c r="C206" s="21">
        <f>IF(OR(WEEKDAY(A206)=1,COUNTIF(FERIADOS,A206)&gt;0),0,1)</f>
        <v>1</v>
      </c>
      <c r="D206" s="21">
        <f t="shared" si="3"/>
        <v>166</v>
      </c>
    </row>
    <row r="207" ht="15.75" customHeight="1">
      <c r="A207" s="24">
        <f t="shared" si="2"/>
        <v>46471</v>
      </c>
      <c r="B207" s="21" t="str">
        <f t="shared" si="1"/>
        <v>jue</v>
      </c>
      <c r="C207" s="21">
        <f>IF(OR(WEEKDAY(A207)=1,COUNTIF(FERIADOS,A207)&gt;0),0,1)</f>
        <v>0</v>
      </c>
      <c r="D207" s="21">
        <f t="shared" si="3"/>
        <v>166</v>
      </c>
    </row>
    <row r="208" ht="15.75" customHeight="1">
      <c r="A208" s="24">
        <f t="shared" si="2"/>
        <v>46472</v>
      </c>
      <c r="B208" s="21" t="str">
        <f t="shared" si="1"/>
        <v>vie</v>
      </c>
      <c r="C208" s="21">
        <f>IF(OR(WEEKDAY(A208)=1,COUNTIF(FERIADOS,A208)&gt;0),0,1)</f>
        <v>0</v>
      </c>
      <c r="D208" s="21">
        <f t="shared" si="3"/>
        <v>166</v>
      </c>
    </row>
    <row r="209" ht="15.75" customHeight="1">
      <c r="A209" s="24">
        <f t="shared" si="2"/>
        <v>46473</v>
      </c>
      <c r="B209" s="21" t="str">
        <f t="shared" si="1"/>
        <v>sáb</v>
      </c>
      <c r="C209" s="21">
        <f>IF(OR(WEEKDAY(A209)=1,COUNTIF(FERIADOS,A209)&gt;0),0,1)</f>
        <v>1</v>
      </c>
      <c r="D209" s="21">
        <f t="shared" si="3"/>
        <v>167</v>
      </c>
    </row>
    <row r="210" ht="15.75" customHeight="1">
      <c r="A210" s="24">
        <f t="shared" si="2"/>
        <v>46474</v>
      </c>
      <c r="B210" s="21" t="str">
        <f t="shared" si="1"/>
        <v>dom</v>
      </c>
      <c r="C210" s="21">
        <f>IF(OR(WEEKDAY(A210)=1,COUNTIF(FERIADOS,A210)&gt;0),0,1)</f>
        <v>0</v>
      </c>
      <c r="D210" s="21">
        <f t="shared" si="3"/>
        <v>167</v>
      </c>
    </row>
    <row r="211" ht="15.75" customHeight="1">
      <c r="A211" s="24">
        <f t="shared" si="2"/>
        <v>46475</v>
      </c>
      <c r="B211" s="21" t="str">
        <f t="shared" si="1"/>
        <v>lun</v>
      </c>
      <c r="C211" s="21">
        <f>IF(OR(WEEKDAY(A211)=1,COUNTIF(FERIADOS,A211)&gt;0),0,1)</f>
        <v>1</v>
      </c>
      <c r="D211" s="21">
        <f t="shared" si="3"/>
        <v>168</v>
      </c>
    </row>
    <row r="212" ht="15.75" customHeight="1">
      <c r="A212" s="24">
        <f t="shared" si="2"/>
        <v>46476</v>
      </c>
      <c r="B212" s="21" t="str">
        <f t="shared" si="1"/>
        <v>mar</v>
      </c>
      <c r="C212" s="21">
        <f>IF(OR(WEEKDAY(A212)=1,COUNTIF(FERIADOS,A212)&gt;0),0,1)</f>
        <v>1</v>
      </c>
      <c r="D212" s="21">
        <f t="shared" si="3"/>
        <v>169</v>
      </c>
    </row>
    <row r="213" ht="15.75" customHeight="1">
      <c r="A213" s="24">
        <f t="shared" si="2"/>
        <v>46477</v>
      </c>
      <c r="B213" s="21" t="str">
        <f t="shared" si="1"/>
        <v>mié</v>
      </c>
      <c r="C213" s="21">
        <f>IF(OR(WEEKDAY(A213)=1,COUNTIF(FERIADOS,A213)&gt;0),0,1)</f>
        <v>1</v>
      </c>
      <c r="D213" s="21">
        <f t="shared" si="3"/>
        <v>170</v>
      </c>
    </row>
    <row r="214" ht="15.75" customHeight="1">
      <c r="A214" s="24">
        <f t="shared" si="2"/>
        <v>46478</v>
      </c>
      <c r="B214" s="21" t="str">
        <f t="shared" si="1"/>
        <v>jue</v>
      </c>
      <c r="C214" s="21">
        <f>IF(OR(WEEKDAY(A214)=1,COUNTIF(FERIADOS,A214)&gt;0),0,1)</f>
        <v>1</v>
      </c>
      <c r="D214" s="21">
        <f t="shared" si="3"/>
        <v>171</v>
      </c>
    </row>
    <row r="215" ht="15.75" customHeight="1">
      <c r="A215" s="24">
        <f t="shared" si="2"/>
        <v>46479</v>
      </c>
      <c r="B215" s="21" t="str">
        <f t="shared" si="1"/>
        <v>vie</v>
      </c>
      <c r="C215" s="21">
        <f>IF(OR(WEEKDAY(A215)=1,COUNTIF(FERIADOS,A215)&gt;0),0,1)</f>
        <v>1</v>
      </c>
      <c r="D215" s="21">
        <f t="shared" si="3"/>
        <v>172</v>
      </c>
    </row>
    <row r="216" ht="15.75" customHeight="1">
      <c r="A216" s="24">
        <f t="shared" si="2"/>
        <v>46480</v>
      </c>
      <c r="B216" s="21" t="str">
        <f t="shared" si="1"/>
        <v>sáb</v>
      </c>
      <c r="C216" s="21">
        <f>IF(OR(WEEKDAY(A216)=1,COUNTIF(FERIADOS,A216)&gt;0),0,1)</f>
        <v>1</v>
      </c>
      <c r="D216" s="21">
        <f t="shared" si="3"/>
        <v>173</v>
      </c>
    </row>
    <row r="217" ht="15.75" customHeight="1">
      <c r="A217" s="24">
        <f t="shared" si="2"/>
        <v>46481</v>
      </c>
      <c r="B217" s="21" t="str">
        <f t="shared" si="1"/>
        <v>dom</v>
      </c>
      <c r="C217" s="21">
        <f>IF(OR(WEEKDAY(A217)=1,COUNTIF(FERIADOS,A217)&gt;0),0,1)</f>
        <v>0</v>
      </c>
      <c r="D217" s="21">
        <f t="shared" si="3"/>
        <v>173</v>
      </c>
    </row>
    <row r="218" ht="15.75" customHeight="1">
      <c r="A218" s="24">
        <f t="shared" si="2"/>
        <v>46482</v>
      </c>
      <c r="B218" s="21" t="str">
        <f t="shared" si="1"/>
        <v>lun</v>
      </c>
      <c r="C218" s="21">
        <f>IF(OR(WEEKDAY(A218)=1,COUNTIF(FERIADOS,A218)&gt;0),0,1)</f>
        <v>1</v>
      </c>
      <c r="D218" s="21">
        <f t="shared" si="3"/>
        <v>174</v>
      </c>
    </row>
    <row r="219" ht="15.75" customHeight="1">
      <c r="A219" s="24">
        <f t="shared" si="2"/>
        <v>46483</v>
      </c>
      <c r="B219" s="21" t="str">
        <f t="shared" si="1"/>
        <v>mar</v>
      </c>
      <c r="C219" s="21">
        <f>IF(OR(WEEKDAY(A219)=1,COUNTIF(FERIADOS,A219)&gt;0),0,1)</f>
        <v>1</v>
      </c>
      <c r="D219" s="21">
        <f t="shared" si="3"/>
        <v>175</v>
      </c>
    </row>
    <row r="220" ht="15.75" customHeight="1">
      <c r="A220" s="24">
        <f t="shared" si="2"/>
        <v>46484</v>
      </c>
      <c r="B220" s="21" t="str">
        <f t="shared" si="1"/>
        <v>mié</v>
      </c>
      <c r="C220" s="21">
        <f>IF(OR(WEEKDAY(A220)=1,COUNTIF(FERIADOS,A220)&gt;0),0,1)</f>
        <v>1</v>
      </c>
      <c r="D220" s="21">
        <f t="shared" si="3"/>
        <v>176</v>
      </c>
    </row>
    <row r="221" ht="15.75" customHeight="1">
      <c r="A221" s="24">
        <f t="shared" si="2"/>
        <v>46485</v>
      </c>
      <c r="B221" s="21" t="str">
        <f t="shared" si="1"/>
        <v>jue</v>
      </c>
      <c r="C221" s="21">
        <f>IF(OR(WEEKDAY(A221)=1,COUNTIF(FERIADOS,A221)&gt;0),0,1)</f>
        <v>1</v>
      </c>
      <c r="D221" s="21">
        <f t="shared" si="3"/>
        <v>177</v>
      </c>
    </row>
    <row r="222" ht="15.75" customHeight="1">
      <c r="A222" s="24">
        <f t="shared" si="2"/>
        <v>46486</v>
      </c>
      <c r="B222" s="21" t="str">
        <f t="shared" si="1"/>
        <v>vie</v>
      </c>
      <c r="C222" s="21">
        <f>IF(OR(WEEKDAY(A222)=1,COUNTIF(FERIADOS,A222)&gt;0),0,1)</f>
        <v>1</v>
      </c>
      <c r="D222" s="21">
        <f t="shared" si="3"/>
        <v>178</v>
      </c>
    </row>
    <row r="223" ht="15.75" customHeight="1">
      <c r="A223" s="24">
        <f t="shared" si="2"/>
        <v>46487</v>
      </c>
      <c r="B223" s="21" t="str">
        <f t="shared" si="1"/>
        <v>sáb</v>
      </c>
      <c r="C223" s="21">
        <f>IF(OR(WEEKDAY(A223)=1,COUNTIF(FERIADOS,A223)&gt;0),0,1)</f>
        <v>1</v>
      </c>
      <c r="D223" s="21">
        <f t="shared" si="3"/>
        <v>179</v>
      </c>
    </row>
    <row r="224" ht="15.75" customHeight="1">
      <c r="A224" s="24">
        <f t="shared" si="2"/>
        <v>46488</v>
      </c>
      <c r="B224" s="21" t="str">
        <f t="shared" si="1"/>
        <v>dom</v>
      </c>
      <c r="C224" s="21">
        <f>IF(OR(WEEKDAY(A224)=1,COUNTIF(FERIADOS,A224)&gt;0),0,1)</f>
        <v>0</v>
      </c>
      <c r="D224" s="21">
        <f t="shared" si="3"/>
        <v>179</v>
      </c>
    </row>
    <row r="225" ht="15.75" customHeight="1">
      <c r="A225" s="24">
        <f t="shared" si="2"/>
        <v>46489</v>
      </c>
      <c r="B225" s="21" t="str">
        <f t="shared" si="1"/>
        <v>lun</v>
      </c>
      <c r="C225" s="21">
        <f>IF(OR(WEEKDAY(A225)=1,COUNTIF(FERIADOS,A225)&gt;0),0,1)</f>
        <v>1</v>
      </c>
      <c r="D225" s="21">
        <f t="shared" si="3"/>
        <v>180</v>
      </c>
    </row>
    <row r="226" ht="15.75" customHeight="1">
      <c r="A226" s="24">
        <f t="shared" si="2"/>
        <v>46490</v>
      </c>
      <c r="B226" s="21" t="str">
        <f t="shared" si="1"/>
        <v>mar</v>
      </c>
      <c r="C226" s="21">
        <f>IF(OR(WEEKDAY(A226)=1,COUNTIF(FERIADOS,A226)&gt;0),0,1)</f>
        <v>1</v>
      </c>
      <c r="D226" s="21">
        <f t="shared" si="3"/>
        <v>181</v>
      </c>
    </row>
    <row r="227" ht="15.75" customHeight="1">
      <c r="A227" s="24">
        <f t="shared" si="2"/>
        <v>46491</v>
      </c>
      <c r="B227" s="21" t="str">
        <f t="shared" si="1"/>
        <v>mié</v>
      </c>
      <c r="C227" s="21">
        <f>IF(OR(WEEKDAY(A227)=1,COUNTIF(FERIADOS,A227)&gt;0),0,1)</f>
        <v>1</v>
      </c>
      <c r="D227" s="21">
        <f t="shared" si="3"/>
        <v>182</v>
      </c>
    </row>
    <row r="228" ht="15.75" customHeight="1">
      <c r="A228" s="24">
        <f t="shared" si="2"/>
        <v>46492</v>
      </c>
      <c r="B228" s="21" t="str">
        <f t="shared" si="1"/>
        <v>jue</v>
      </c>
      <c r="C228" s="21">
        <f>IF(OR(WEEKDAY(A228)=1,COUNTIF(FERIADOS,A228)&gt;0),0,1)</f>
        <v>1</v>
      </c>
      <c r="D228" s="21">
        <f t="shared" si="3"/>
        <v>183</v>
      </c>
    </row>
    <row r="229" ht="15.75" customHeight="1">
      <c r="A229" s="24">
        <f t="shared" si="2"/>
        <v>46493</v>
      </c>
      <c r="B229" s="21" t="str">
        <f t="shared" si="1"/>
        <v>vie</v>
      </c>
      <c r="C229" s="21">
        <f>IF(OR(WEEKDAY(A229)=1,COUNTIF(FERIADOS,A229)&gt;0),0,1)</f>
        <v>1</v>
      </c>
      <c r="D229" s="21">
        <f t="shared" si="3"/>
        <v>184</v>
      </c>
    </row>
    <row r="230" ht="15.75" customHeight="1">
      <c r="A230" s="24">
        <f t="shared" si="2"/>
        <v>46494</v>
      </c>
      <c r="B230" s="21" t="str">
        <f t="shared" si="1"/>
        <v>sáb</v>
      </c>
      <c r="C230" s="21">
        <f>IF(OR(WEEKDAY(A230)=1,COUNTIF(FERIADOS,A230)&gt;0),0,1)</f>
        <v>1</v>
      </c>
      <c r="D230" s="21">
        <f t="shared" si="3"/>
        <v>185</v>
      </c>
    </row>
    <row r="231" ht="15.75" customHeight="1">
      <c r="A231" s="24">
        <f t="shared" si="2"/>
        <v>46495</v>
      </c>
      <c r="B231" s="21" t="str">
        <f t="shared" si="1"/>
        <v>dom</v>
      </c>
      <c r="C231" s="21">
        <f>IF(OR(WEEKDAY(A231)=1,COUNTIF(FERIADOS,A231)&gt;0),0,1)</f>
        <v>0</v>
      </c>
      <c r="D231" s="21">
        <f t="shared" si="3"/>
        <v>185</v>
      </c>
    </row>
    <row r="232" ht="15.75" customHeight="1">
      <c r="A232" s="24">
        <f t="shared" si="2"/>
        <v>46496</v>
      </c>
      <c r="B232" s="21" t="str">
        <f t="shared" si="1"/>
        <v>lun</v>
      </c>
      <c r="C232" s="21">
        <f>IF(OR(WEEKDAY(A232)=1,COUNTIF(FERIADOS,A232)&gt;0),0,1)</f>
        <v>1</v>
      </c>
      <c r="D232" s="21">
        <f t="shared" si="3"/>
        <v>186</v>
      </c>
    </row>
    <row r="233" ht="15.75" customHeight="1">
      <c r="A233" s="24">
        <f t="shared" si="2"/>
        <v>46497</v>
      </c>
      <c r="B233" s="21" t="str">
        <f t="shared" si="1"/>
        <v>mar</v>
      </c>
      <c r="C233" s="21">
        <f>IF(OR(WEEKDAY(A233)=1,COUNTIF(FERIADOS,A233)&gt;0),0,1)</f>
        <v>1</v>
      </c>
      <c r="D233" s="21">
        <f t="shared" si="3"/>
        <v>187</v>
      </c>
    </row>
    <row r="234" ht="15.75" customHeight="1">
      <c r="A234" s="24">
        <f t="shared" si="2"/>
        <v>46498</v>
      </c>
      <c r="B234" s="21" t="str">
        <f t="shared" si="1"/>
        <v>mié</v>
      </c>
      <c r="C234" s="21">
        <f>IF(OR(WEEKDAY(A234)=1,COUNTIF(FERIADOS,A234)&gt;0),0,1)</f>
        <v>1</v>
      </c>
      <c r="D234" s="21">
        <f t="shared" si="3"/>
        <v>188</v>
      </c>
    </row>
    <row r="235" ht="15.75" customHeight="1">
      <c r="A235" s="24">
        <f t="shared" si="2"/>
        <v>46499</v>
      </c>
      <c r="B235" s="21" t="str">
        <f t="shared" si="1"/>
        <v>jue</v>
      </c>
      <c r="C235" s="21">
        <f>IF(OR(WEEKDAY(A235)=1,COUNTIF(FERIADOS,A235)&gt;0),0,1)</f>
        <v>1</v>
      </c>
      <c r="D235" s="21">
        <f t="shared" si="3"/>
        <v>189</v>
      </c>
    </row>
    <row r="236" ht="15.75" customHeight="1">
      <c r="A236" s="24">
        <f t="shared" si="2"/>
        <v>46500</v>
      </c>
      <c r="B236" s="21" t="str">
        <f t="shared" si="1"/>
        <v>vie</v>
      </c>
      <c r="C236" s="21">
        <f>IF(OR(WEEKDAY(A236)=1,COUNTIF(FERIADOS,A236)&gt;0),0,1)</f>
        <v>1</v>
      </c>
      <c r="D236" s="21">
        <f t="shared" si="3"/>
        <v>190</v>
      </c>
    </row>
    <row r="237" ht="15.75" customHeight="1">
      <c r="A237" s="24">
        <f t="shared" si="2"/>
        <v>46501</v>
      </c>
      <c r="B237" s="21" t="str">
        <f t="shared" si="1"/>
        <v>sáb</v>
      </c>
      <c r="C237" s="21">
        <f>IF(OR(WEEKDAY(A237)=1,COUNTIF(FERIADOS,A237)&gt;0),0,1)</f>
        <v>1</v>
      </c>
      <c r="D237" s="21">
        <f t="shared" si="3"/>
        <v>191</v>
      </c>
    </row>
    <row r="238" ht="15.75" customHeight="1">
      <c r="A238" s="24">
        <f t="shared" si="2"/>
        <v>46502</v>
      </c>
      <c r="B238" s="21" t="str">
        <f t="shared" si="1"/>
        <v>dom</v>
      </c>
      <c r="C238" s="21">
        <f>IF(OR(WEEKDAY(A238)=1,COUNTIF(FERIADOS,A238)&gt;0),0,1)</f>
        <v>0</v>
      </c>
      <c r="D238" s="21">
        <f t="shared" si="3"/>
        <v>191</v>
      </c>
    </row>
    <row r="239" ht="15.75" customHeight="1">
      <c r="A239" s="24">
        <f t="shared" si="2"/>
        <v>46503</v>
      </c>
      <c r="B239" s="21" t="str">
        <f t="shared" si="1"/>
        <v>lun</v>
      </c>
      <c r="C239" s="21">
        <f>IF(OR(WEEKDAY(A239)=1,COUNTIF(FERIADOS,A239)&gt;0),0,1)</f>
        <v>1</v>
      </c>
      <c r="D239" s="21">
        <f t="shared" si="3"/>
        <v>192</v>
      </c>
    </row>
    <row r="240" ht="15.75" customHeight="1">
      <c r="A240" s="24">
        <f t="shared" si="2"/>
        <v>46504</v>
      </c>
      <c r="B240" s="21" t="str">
        <f t="shared" si="1"/>
        <v>mar</v>
      </c>
      <c r="C240" s="21">
        <f>IF(OR(WEEKDAY(A240)=1,COUNTIF(FERIADOS,A240)&gt;0),0,1)</f>
        <v>1</v>
      </c>
      <c r="D240" s="21">
        <f t="shared" si="3"/>
        <v>193</v>
      </c>
    </row>
    <row r="241" ht="15.75" customHeight="1">
      <c r="A241" s="24">
        <f t="shared" si="2"/>
        <v>46505</v>
      </c>
      <c r="B241" s="21" t="str">
        <f t="shared" si="1"/>
        <v>mié</v>
      </c>
      <c r="C241" s="21">
        <f>IF(OR(WEEKDAY(A241)=1,COUNTIF(FERIADOS,A241)&gt;0),0,1)</f>
        <v>1</v>
      </c>
      <c r="D241" s="21">
        <f t="shared" si="3"/>
        <v>194</v>
      </c>
    </row>
    <row r="242" ht="15.75" customHeight="1">
      <c r="A242" s="24">
        <f t="shared" si="2"/>
        <v>46506</v>
      </c>
      <c r="B242" s="21" t="str">
        <f t="shared" si="1"/>
        <v>jue</v>
      </c>
      <c r="C242" s="21">
        <f>IF(OR(WEEKDAY(A242)=1,COUNTIF(FERIADOS,A242)&gt;0),0,1)</f>
        <v>1</v>
      </c>
      <c r="D242" s="21">
        <f t="shared" si="3"/>
        <v>195</v>
      </c>
    </row>
    <row r="243" ht="15.75" customHeight="1">
      <c r="A243" s="24">
        <f t="shared" si="2"/>
        <v>46507</v>
      </c>
      <c r="B243" s="21" t="str">
        <f t="shared" si="1"/>
        <v>vie</v>
      </c>
      <c r="C243" s="21">
        <f>IF(OR(WEEKDAY(A243)=1,COUNTIF(FERIADOS,A243)&gt;0),0,1)</f>
        <v>1</v>
      </c>
      <c r="D243" s="21">
        <f t="shared" si="3"/>
        <v>196</v>
      </c>
    </row>
    <row r="244" ht="15.75" customHeight="1">
      <c r="A244" s="24">
        <f t="shared" si="2"/>
        <v>46508</v>
      </c>
      <c r="B244" s="21" t="str">
        <f t="shared" si="1"/>
        <v>sáb</v>
      </c>
      <c r="C244" s="21">
        <f>IF(OR(WEEKDAY(A244)=1,COUNTIF(FERIADOS,A244)&gt;0),0,1)</f>
        <v>0</v>
      </c>
      <c r="D244" s="21">
        <f t="shared" si="3"/>
        <v>196</v>
      </c>
    </row>
    <row r="245" ht="15.75" customHeight="1">
      <c r="A245" s="24">
        <f t="shared" si="2"/>
        <v>46509</v>
      </c>
      <c r="B245" s="21" t="str">
        <f t="shared" si="1"/>
        <v>dom</v>
      </c>
      <c r="C245" s="21">
        <f>IF(OR(WEEKDAY(A245)=1,COUNTIF(FERIADOS,A245)&gt;0),0,1)</f>
        <v>0</v>
      </c>
      <c r="D245" s="21">
        <f t="shared" si="3"/>
        <v>196</v>
      </c>
    </row>
    <row r="246" ht="15.75" customHeight="1">
      <c r="A246" s="24">
        <f t="shared" si="2"/>
        <v>46510</v>
      </c>
      <c r="B246" s="21" t="str">
        <f t="shared" si="1"/>
        <v>lun</v>
      </c>
      <c r="C246" s="21">
        <f>IF(OR(WEEKDAY(A246)=1,COUNTIF(FERIADOS,A246)&gt;0),0,1)</f>
        <v>1</v>
      </c>
      <c r="D246" s="21">
        <f t="shared" si="3"/>
        <v>197</v>
      </c>
    </row>
    <row r="247" ht="15.75" customHeight="1">
      <c r="A247" s="24">
        <f t="shared" si="2"/>
        <v>46511</v>
      </c>
      <c r="B247" s="21" t="str">
        <f t="shared" si="1"/>
        <v>mar</v>
      </c>
      <c r="C247" s="21">
        <f>IF(OR(WEEKDAY(A247)=1,COUNTIF(FERIADOS,A247)&gt;0),0,1)</f>
        <v>1</v>
      </c>
      <c r="D247" s="21">
        <f t="shared" si="3"/>
        <v>198</v>
      </c>
    </row>
    <row r="248" ht="15.75" customHeight="1">
      <c r="A248" s="24">
        <f t="shared" si="2"/>
        <v>46512</v>
      </c>
      <c r="B248" s="21" t="str">
        <f t="shared" si="1"/>
        <v>mié</v>
      </c>
      <c r="C248" s="21">
        <f>IF(OR(WEEKDAY(A248)=1,COUNTIF(FERIADOS,A248)&gt;0),0,1)</f>
        <v>1</v>
      </c>
      <c r="D248" s="21">
        <f t="shared" si="3"/>
        <v>199</v>
      </c>
    </row>
    <row r="249" ht="15.75" customHeight="1">
      <c r="A249" s="24">
        <f t="shared" si="2"/>
        <v>46513</v>
      </c>
      <c r="B249" s="21" t="str">
        <f t="shared" si="1"/>
        <v>jue</v>
      </c>
      <c r="C249" s="21">
        <f>IF(OR(WEEKDAY(A249)=1,COUNTIF(FERIADOS,A249)&gt;0),0,1)</f>
        <v>1</v>
      </c>
      <c r="D249" s="21">
        <f t="shared" si="3"/>
        <v>200</v>
      </c>
    </row>
    <row r="250" ht="15.75" customHeight="1">
      <c r="A250" s="24">
        <f t="shared" si="2"/>
        <v>46514</v>
      </c>
      <c r="B250" s="21" t="str">
        <f t="shared" si="1"/>
        <v>vie</v>
      </c>
      <c r="C250" s="21">
        <f>IF(OR(WEEKDAY(A250)=1,COUNTIF(FERIADOS,A250)&gt;0),0,1)</f>
        <v>1</v>
      </c>
      <c r="D250" s="21">
        <f t="shared" si="3"/>
        <v>201</v>
      </c>
    </row>
    <row r="251" ht="15.75" customHeight="1">
      <c r="A251" s="24">
        <f t="shared" si="2"/>
        <v>46515</v>
      </c>
      <c r="B251" s="21" t="str">
        <f t="shared" si="1"/>
        <v>sáb</v>
      </c>
      <c r="C251" s="21">
        <f>IF(OR(WEEKDAY(A251)=1,COUNTIF(FERIADOS,A251)&gt;0),0,1)</f>
        <v>1</v>
      </c>
      <c r="D251" s="21">
        <f t="shared" si="3"/>
        <v>202</v>
      </c>
    </row>
    <row r="252" ht="15.75" customHeight="1">
      <c r="A252" s="24">
        <f t="shared" si="2"/>
        <v>46516</v>
      </c>
      <c r="B252" s="21" t="str">
        <f t="shared" si="1"/>
        <v>dom</v>
      </c>
      <c r="C252" s="21">
        <f>IF(OR(WEEKDAY(A252)=1,COUNTIF(FERIADOS,A252)&gt;0),0,1)</f>
        <v>0</v>
      </c>
      <c r="D252" s="21">
        <f t="shared" si="3"/>
        <v>202</v>
      </c>
    </row>
    <row r="253" ht="15.75" customHeight="1">
      <c r="A253" s="24">
        <f t="shared" si="2"/>
        <v>46517</v>
      </c>
      <c r="B253" s="21" t="str">
        <f t="shared" si="1"/>
        <v>lun</v>
      </c>
      <c r="C253" s="21">
        <f>IF(OR(WEEKDAY(A253)=1,COUNTIF(FERIADOS,A253)&gt;0),0,1)</f>
        <v>1</v>
      </c>
      <c r="D253" s="21">
        <f t="shared" si="3"/>
        <v>203</v>
      </c>
    </row>
    <row r="254" ht="15.75" customHeight="1">
      <c r="A254" s="24">
        <f t="shared" si="2"/>
        <v>46518</v>
      </c>
      <c r="B254" s="21" t="str">
        <f t="shared" si="1"/>
        <v>mar</v>
      </c>
      <c r="C254" s="21">
        <f>IF(OR(WEEKDAY(A254)=1,COUNTIF(FERIADOS,A254)&gt;0),0,1)</f>
        <v>1</v>
      </c>
      <c r="D254" s="21">
        <f t="shared" si="3"/>
        <v>204</v>
      </c>
    </row>
    <row r="255" ht="15.75" customHeight="1">
      <c r="A255" s="24">
        <f t="shared" si="2"/>
        <v>46519</v>
      </c>
      <c r="B255" s="21" t="str">
        <f t="shared" si="1"/>
        <v>mié</v>
      </c>
      <c r="C255" s="21">
        <f>IF(OR(WEEKDAY(A255)=1,COUNTIF(FERIADOS,A255)&gt;0),0,1)</f>
        <v>1</v>
      </c>
      <c r="D255" s="21">
        <f t="shared" si="3"/>
        <v>205</v>
      </c>
    </row>
    <row r="256" ht="15.75" customHeight="1">
      <c r="A256" s="24">
        <f t="shared" si="2"/>
        <v>46520</v>
      </c>
      <c r="B256" s="21" t="str">
        <f t="shared" si="1"/>
        <v>jue</v>
      </c>
      <c r="C256" s="21">
        <f>IF(OR(WEEKDAY(A256)=1,COUNTIF(FERIADOS,A256)&gt;0),0,1)</f>
        <v>1</v>
      </c>
      <c r="D256" s="21">
        <f t="shared" si="3"/>
        <v>206</v>
      </c>
    </row>
    <row r="257" ht="15.75" customHeight="1">
      <c r="A257" s="24">
        <f t="shared" si="2"/>
        <v>46521</v>
      </c>
      <c r="B257" s="21" t="str">
        <f t="shared" si="1"/>
        <v>vie</v>
      </c>
      <c r="C257" s="21">
        <f>IF(OR(WEEKDAY(A257)=1,COUNTIF(FERIADOS,A257)&gt;0),0,1)</f>
        <v>1</v>
      </c>
      <c r="D257" s="21">
        <f t="shared" si="3"/>
        <v>207</v>
      </c>
    </row>
    <row r="258" ht="15.75" customHeight="1">
      <c r="A258" s="24">
        <f t="shared" si="2"/>
        <v>46522</v>
      </c>
      <c r="B258" s="21" t="str">
        <f t="shared" si="1"/>
        <v>sáb</v>
      </c>
      <c r="C258" s="21">
        <f>IF(OR(WEEKDAY(A258)=1,COUNTIF(FERIADOS,A258)&gt;0),0,1)</f>
        <v>1</v>
      </c>
      <c r="D258" s="21">
        <f t="shared" si="3"/>
        <v>208</v>
      </c>
    </row>
    <row r="259" ht="15.75" customHeight="1">
      <c r="A259" s="24">
        <f t="shared" si="2"/>
        <v>46523</v>
      </c>
      <c r="B259" s="21" t="str">
        <f t="shared" si="1"/>
        <v>dom</v>
      </c>
      <c r="C259" s="21">
        <f>IF(OR(WEEKDAY(A259)=1,COUNTIF(FERIADOS,A259)&gt;0),0,1)</f>
        <v>0</v>
      </c>
      <c r="D259" s="21">
        <f t="shared" si="3"/>
        <v>208</v>
      </c>
    </row>
    <row r="260" ht="15.75" customHeight="1">
      <c r="A260" s="24">
        <f t="shared" si="2"/>
        <v>46524</v>
      </c>
      <c r="B260" s="21" t="str">
        <f t="shared" si="1"/>
        <v>lun</v>
      </c>
      <c r="C260" s="21">
        <f>IF(OR(WEEKDAY(A260)=1,COUNTIF(FERIADOS,A260)&gt;0),0,1)</f>
        <v>1</v>
      </c>
      <c r="D260" s="21">
        <f t="shared" si="3"/>
        <v>209</v>
      </c>
    </row>
    <row r="261" ht="15.75" customHeight="1">
      <c r="A261" s="24">
        <f t="shared" si="2"/>
        <v>46525</v>
      </c>
      <c r="B261" s="21" t="str">
        <f t="shared" si="1"/>
        <v>mar</v>
      </c>
      <c r="C261" s="21">
        <f>IF(OR(WEEKDAY(A261)=1,COUNTIF(FERIADOS,A261)&gt;0),0,1)</f>
        <v>1</v>
      </c>
      <c r="D261" s="21">
        <f t="shared" si="3"/>
        <v>210</v>
      </c>
    </row>
    <row r="262" ht="15.75" customHeight="1">
      <c r="A262" s="24">
        <f t="shared" si="2"/>
        <v>46526</v>
      </c>
      <c r="B262" s="21" t="str">
        <f t="shared" si="1"/>
        <v>mié</v>
      </c>
      <c r="C262" s="21">
        <f>IF(OR(WEEKDAY(A262)=1,COUNTIF(FERIADOS,A262)&gt;0),0,1)</f>
        <v>1</v>
      </c>
      <c r="D262" s="21">
        <f t="shared" si="3"/>
        <v>211</v>
      </c>
    </row>
    <row r="263" ht="15.75" customHeight="1">
      <c r="A263" s="24">
        <f t="shared" si="2"/>
        <v>46527</v>
      </c>
      <c r="B263" s="21" t="str">
        <f t="shared" si="1"/>
        <v>jue</v>
      </c>
      <c r="C263" s="21">
        <f>IF(OR(WEEKDAY(A263)=1,COUNTIF(FERIADOS,A263)&gt;0),0,1)</f>
        <v>1</v>
      </c>
      <c r="D263" s="21">
        <f t="shared" si="3"/>
        <v>212</v>
      </c>
    </row>
    <row r="264" ht="15.75" customHeight="1">
      <c r="A264" s="24">
        <f t="shared" si="2"/>
        <v>46528</v>
      </c>
      <c r="B264" s="21" t="str">
        <f t="shared" si="1"/>
        <v>vie</v>
      </c>
      <c r="C264" s="21">
        <f>IF(OR(WEEKDAY(A264)=1,COUNTIF(FERIADOS,A264)&gt;0),0,1)</f>
        <v>1</v>
      </c>
      <c r="D264" s="21">
        <f t="shared" si="3"/>
        <v>213</v>
      </c>
    </row>
    <row r="265" ht="15.75" customHeight="1">
      <c r="A265" s="24">
        <f t="shared" si="2"/>
        <v>46529</v>
      </c>
      <c r="B265" s="21" t="str">
        <f t="shared" si="1"/>
        <v>sáb</v>
      </c>
      <c r="C265" s="21">
        <f>IF(OR(WEEKDAY(A265)=1,COUNTIF(FERIADOS,A265)&gt;0),0,1)</f>
        <v>1</v>
      </c>
      <c r="D265" s="21">
        <f t="shared" si="3"/>
        <v>214</v>
      </c>
    </row>
    <row r="266" ht="15.75" customHeight="1">
      <c r="A266" s="24">
        <f t="shared" si="2"/>
        <v>46530</v>
      </c>
      <c r="B266" s="21" t="str">
        <f t="shared" si="1"/>
        <v>dom</v>
      </c>
      <c r="C266" s="21">
        <f>IF(OR(WEEKDAY(A266)=1,COUNTIF(FERIADOS,A266)&gt;0),0,1)</f>
        <v>0</v>
      </c>
      <c r="D266" s="21">
        <f t="shared" si="3"/>
        <v>214</v>
      </c>
    </row>
    <row r="267" ht="15.75" customHeight="1">
      <c r="A267" s="24">
        <f t="shared" si="2"/>
        <v>46531</v>
      </c>
      <c r="B267" s="21" t="str">
        <f t="shared" si="1"/>
        <v>lun</v>
      </c>
      <c r="C267" s="21">
        <f>IF(OR(WEEKDAY(A267)=1,COUNTIF(FERIADOS,A267)&gt;0),0,1)</f>
        <v>1</v>
      </c>
      <c r="D267" s="21">
        <f t="shared" si="3"/>
        <v>215</v>
      </c>
    </row>
    <row r="268" ht="15.75" customHeight="1">
      <c r="A268" s="24">
        <f t="shared" si="2"/>
        <v>46532</v>
      </c>
      <c r="B268" s="21" t="str">
        <f t="shared" si="1"/>
        <v>mar</v>
      </c>
      <c r="C268" s="21">
        <f>IF(OR(WEEKDAY(A268)=1,COUNTIF(FERIADOS,A268)&gt;0),0,1)</f>
        <v>1</v>
      </c>
      <c r="D268" s="21">
        <f t="shared" si="3"/>
        <v>216</v>
      </c>
    </row>
    <row r="269" ht="15.75" customHeight="1">
      <c r="A269" s="24">
        <f t="shared" si="2"/>
        <v>46533</v>
      </c>
      <c r="B269" s="21" t="str">
        <f t="shared" si="1"/>
        <v>mié</v>
      </c>
      <c r="C269" s="21">
        <f>IF(OR(WEEKDAY(A269)=1,COUNTIF(FERIADOS,A269)&gt;0),0,1)</f>
        <v>1</v>
      </c>
      <c r="D269" s="21">
        <f t="shared" si="3"/>
        <v>217</v>
      </c>
    </row>
    <row r="270" ht="15.75" customHeight="1">
      <c r="A270" s="24">
        <f t="shared" si="2"/>
        <v>46534</v>
      </c>
      <c r="B270" s="21" t="str">
        <f t="shared" si="1"/>
        <v>jue</v>
      </c>
      <c r="C270" s="21">
        <f>IF(OR(WEEKDAY(A270)=1,COUNTIF(FERIADOS,A270)&gt;0),0,1)</f>
        <v>1</v>
      </c>
      <c r="D270" s="21">
        <f t="shared" si="3"/>
        <v>218</v>
      </c>
    </row>
    <row r="271" ht="15.75" customHeight="1">
      <c r="A271" s="24">
        <f t="shared" si="2"/>
        <v>46535</v>
      </c>
      <c r="B271" s="21" t="str">
        <f t="shared" si="1"/>
        <v>vie</v>
      </c>
      <c r="C271" s="21">
        <f>IF(OR(WEEKDAY(A271)=1,COUNTIF(FERIADOS,A271)&gt;0),0,1)</f>
        <v>1</v>
      </c>
      <c r="D271" s="21">
        <f t="shared" si="3"/>
        <v>219</v>
      </c>
    </row>
    <row r="272" ht="15.75" customHeight="1">
      <c r="A272" s="24">
        <f t="shared" si="2"/>
        <v>46536</v>
      </c>
      <c r="B272" s="21" t="str">
        <f t="shared" si="1"/>
        <v>sáb</v>
      </c>
      <c r="C272" s="21">
        <f>IF(OR(WEEKDAY(A272)=1,COUNTIF(FERIADOS,A272)&gt;0),0,1)</f>
        <v>1</v>
      </c>
      <c r="D272" s="21">
        <f t="shared" si="3"/>
        <v>220</v>
      </c>
    </row>
    <row r="273" ht="15.75" customHeight="1">
      <c r="A273" s="24">
        <f t="shared" si="2"/>
        <v>46537</v>
      </c>
      <c r="B273" s="21" t="str">
        <f t="shared" si="1"/>
        <v>dom</v>
      </c>
      <c r="C273" s="21">
        <f>IF(OR(WEEKDAY(A273)=1,COUNTIF(FERIADOS,A273)&gt;0),0,1)</f>
        <v>0</v>
      </c>
      <c r="D273" s="21">
        <f t="shared" si="3"/>
        <v>220</v>
      </c>
    </row>
    <row r="274" ht="15.75" customHeight="1">
      <c r="A274" s="24">
        <f t="shared" si="2"/>
        <v>46538</v>
      </c>
      <c r="B274" s="21" t="str">
        <f t="shared" si="1"/>
        <v>lun</v>
      </c>
      <c r="C274" s="21">
        <f>IF(OR(WEEKDAY(A274)=1,COUNTIF(FERIADOS,A274)&gt;0),0,1)</f>
        <v>1</v>
      </c>
      <c r="D274" s="21">
        <f t="shared" si="3"/>
        <v>221</v>
      </c>
    </row>
    <row r="275" ht="15.75" customHeight="1">
      <c r="A275" s="24">
        <f t="shared" si="2"/>
        <v>46539</v>
      </c>
      <c r="B275" s="21" t="str">
        <f t="shared" si="1"/>
        <v>mar</v>
      </c>
      <c r="C275" s="21">
        <f>IF(OR(WEEKDAY(A275)=1,COUNTIF(FERIADOS,A275)&gt;0),0,1)</f>
        <v>1</v>
      </c>
      <c r="D275" s="21">
        <f t="shared" si="3"/>
        <v>222</v>
      </c>
    </row>
    <row r="276" ht="15.75" customHeight="1">
      <c r="A276" s="24">
        <f t="shared" si="2"/>
        <v>46540</v>
      </c>
      <c r="B276" s="21" t="str">
        <f t="shared" si="1"/>
        <v>mié</v>
      </c>
      <c r="C276" s="21">
        <f>IF(OR(WEEKDAY(A276)=1,COUNTIF(FERIADOS,A276)&gt;0),0,1)</f>
        <v>1</v>
      </c>
      <c r="D276" s="21">
        <f t="shared" si="3"/>
        <v>223</v>
      </c>
    </row>
    <row r="277" ht="15.75" customHeight="1">
      <c r="A277" s="24">
        <f t="shared" si="2"/>
        <v>46541</v>
      </c>
      <c r="B277" s="21" t="str">
        <f t="shared" si="1"/>
        <v>jue</v>
      </c>
      <c r="C277" s="21">
        <f>IF(OR(WEEKDAY(A277)=1,COUNTIF(FERIADOS,A277)&gt;0),0,1)</f>
        <v>1</v>
      </c>
      <c r="D277" s="21">
        <f t="shared" si="3"/>
        <v>224</v>
      </c>
    </row>
    <row r="278" ht="15.75" customHeight="1">
      <c r="A278" s="24">
        <f t="shared" si="2"/>
        <v>46542</v>
      </c>
      <c r="B278" s="21" t="str">
        <f t="shared" si="1"/>
        <v>vie</v>
      </c>
      <c r="C278" s="21">
        <f>IF(OR(WEEKDAY(A278)=1,COUNTIF(FERIADOS,A278)&gt;0),0,1)</f>
        <v>1</v>
      </c>
      <c r="D278" s="21">
        <f t="shared" si="3"/>
        <v>225</v>
      </c>
    </row>
    <row r="279" ht="15.75" customHeight="1">
      <c r="A279" s="24">
        <f t="shared" si="2"/>
        <v>46543</v>
      </c>
      <c r="B279" s="21" t="str">
        <f t="shared" si="1"/>
        <v>sáb</v>
      </c>
      <c r="C279" s="21">
        <f>IF(OR(WEEKDAY(A279)=1,COUNTIF(FERIADOS,A279)&gt;0),0,1)</f>
        <v>1</v>
      </c>
      <c r="D279" s="21">
        <f t="shared" si="3"/>
        <v>226</v>
      </c>
    </row>
    <row r="280" ht="15.75" customHeight="1">
      <c r="A280" s="24">
        <f t="shared" si="2"/>
        <v>46544</v>
      </c>
      <c r="B280" s="21" t="str">
        <f t="shared" si="1"/>
        <v>dom</v>
      </c>
      <c r="C280" s="21">
        <f>IF(OR(WEEKDAY(A280)=1,COUNTIF(FERIADOS,A280)&gt;0),0,1)</f>
        <v>0</v>
      </c>
      <c r="D280" s="21">
        <f t="shared" si="3"/>
        <v>226</v>
      </c>
    </row>
    <row r="281" ht="15.75" customHeight="1">
      <c r="A281" s="24">
        <f t="shared" si="2"/>
        <v>46545</v>
      </c>
      <c r="B281" s="21" t="str">
        <f t="shared" si="1"/>
        <v>lun</v>
      </c>
      <c r="C281" s="21">
        <f>IF(OR(WEEKDAY(A281)=1,COUNTIF(FERIADOS,A281)&gt;0),0,1)</f>
        <v>0</v>
      </c>
      <c r="D281" s="21">
        <f t="shared" si="3"/>
        <v>226</v>
      </c>
    </row>
    <row r="282" ht="15.75" customHeight="1">
      <c r="A282" s="24">
        <f t="shared" si="2"/>
        <v>46546</v>
      </c>
      <c r="B282" s="21" t="str">
        <f t="shared" si="1"/>
        <v>mar</v>
      </c>
      <c r="C282" s="21">
        <f>IF(OR(WEEKDAY(A282)=1,COUNTIF(FERIADOS,A282)&gt;0),0,1)</f>
        <v>1</v>
      </c>
      <c r="D282" s="21">
        <f t="shared" si="3"/>
        <v>227</v>
      </c>
    </row>
    <row r="283" ht="15.75" customHeight="1">
      <c r="A283" s="24">
        <f t="shared" si="2"/>
        <v>46547</v>
      </c>
      <c r="B283" s="21" t="str">
        <f t="shared" si="1"/>
        <v>mié</v>
      </c>
      <c r="C283" s="21">
        <f>IF(OR(WEEKDAY(A283)=1,COUNTIF(FERIADOS,A283)&gt;0),0,1)</f>
        <v>1</v>
      </c>
      <c r="D283" s="21">
        <f t="shared" si="3"/>
        <v>228</v>
      </c>
    </row>
    <row r="284" ht="15.75" customHeight="1">
      <c r="A284" s="24">
        <f t="shared" si="2"/>
        <v>46548</v>
      </c>
      <c r="B284" s="21" t="str">
        <f t="shared" si="1"/>
        <v>jue</v>
      </c>
      <c r="C284" s="21">
        <f>IF(OR(WEEKDAY(A284)=1,COUNTIF(FERIADOS,A284)&gt;0),0,1)</f>
        <v>1</v>
      </c>
      <c r="D284" s="21">
        <f t="shared" si="3"/>
        <v>229</v>
      </c>
    </row>
    <row r="285" ht="15.75" customHeight="1">
      <c r="A285" s="24">
        <f t="shared" si="2"/>
        <v>46549</v>
      </c>
      <c r="B285" s="21" t="str">
        <f t="shared" si="1"/>
        <v>vie</v>
      </c>
      <c r="C285" s="21">
        <f>IF(OR(WEEKDAY(A285)=1,COUNTIF(FERIADOS,A285)&gt;0),0,1)</f>
        <v>1</v>
      </c>
      <c r="D285" s="21">
        <f t="shared" si="3"/>
        <v>230</v>
      </c>
    </row>
    <row r="286" ht="15.75" customHeight="1">
      <c r="A286" s="24">
        <f t="shared" si="2"/>
        <v>46550</v>
      </c>
      <c r="B286" s="21" t="str">
        <f t="shared" si="1"/>
        <v>sáb</v>
      </c>
      <c r="C286" s="21">
        <f>IF(OR(WEEKDAY(A286)=1,COUNTIF(FERIADOS,A286)&gt;0),0,1)</f>
        <v>1</v>
      </c>
      <c r="D286" s="21">
        <f t="shared" si="3"/>
        <v>231</v>
      </c>
    </row>
    <row r="287" ht="15.75" customHeight="1">
      <c r="A287" s="24">
        <f t="shared" si="2"/>
        <v>46551</v>
      </c>
      <c r="B287" s="21" t="str">
        <f t="shared" si="1"/>
        <v>dom</v>
      </c>
      <c r="C287" s="21">
        <f>IF(OR(WEEKDAY(A287)=1,COUNTIF(FERIADOS,A287)&gt;0),0,1)</f>
        <v>0</v>
      </c>
      <c r="D287" s="21">
        <f t="shared" si="3"/>
        <v>231</v>
      </c>
    </row>
    <row r="288" ht="15.75" customHeight="1">
      <c r="A288" s="24">
        <f t="shared" si="2"/>
        <v>46552</v>
      </c>
      <c r="B288" s="21" t="str">
        <f t="shared" si="1"/>
        <v>lun</v>
      </c>
      <c r="C288" s="21">
        <f>IF(OR(WEEKDAY(A288)=1,COUNTIF(FERIADOS,A288)&gt;0),0,1)</f>
        <v>1</v>
      </c>
      <c r="D288" s="21">
        <f t="shared" si="3"/>
        <v>232</v>
      </c>
    </row>
    <row r="289" ht="15.75" customHeight="1">
      <c r="A289" s="24">
        <f t="shared" si="2"/>
        <v>46553</v>
      </c>
      <c r="B289" s="21" t="str">
        <f t="shared" si="1"/>
        <v>mar</v>
      </c>
      <c r="C289" s="21">
        <f>IF(OR(WEEKDAY(A289)=1,COUNTIF(FERIADOS,A289)&gt;0),0,1)</f>
        <v>1</v>
      </c>
      <c r="D289" s="21">
        <f t="shared" si="3"/>
        <v>233</v>
      </c>
    </row>
    <row r="290" ht="15.75" customHeight="1">
      <c r="A290" s="24">
        <f t="shared" si="2"/>
        <v>46554</v>
      </c>
      <c r="B290" s="21" t="str">
        <f t="shared" si="1"/>
        <v>mié</v>
      </c>
      <c r="C290" s="21">
        <f>IF(OR(WEEKDAY(A290)=1,COUNTIF(FERIADOS,A290)&gt;0),0,1)</f>
        <v>1</v>
      </c>
      <c r="D290" s="21">
        <f t="shared" si="3"/>
        <v>234</v>
      </c>
    </row>
    <row r="291" ht="15.75" customHeight="1">
      <c r="A291" s="24">
        <f t="shared" si="2"/>
        <v>46555</v>
      </c>
      <c r="B291" s="21" t="str">
        <f t="shared" si="1"/>
        <v>jue</v>
      </c>
      <c r="C291" s="21">
        <f>IF(OR(WEEKDAY(A291)=1,COUNTIF(FERIADOS,A291)&gt;0),0,1)</f>
        <v>1</v>
      </c>
      <c r="D291" s="21">
        <f t="shared" si="3"/>
        <v>235</v>
      </c>
    </row>
    <row r="292" ht="15.75" customHeight="1">
      <c r="A292" s="24">
        <f t="shared" si="2"/>
        <v>46556</v>
      </c>
      <c r="B292" s="21" t="str">
        <f t="shared" si="1"/>
        <v>vie</v>
      </c>
      <c r="C292" s="21">
        <f>IF(OR(WEEKDAY(A292)=1,COUNTIF(FERIADOS,A292)&gt;0),0,1)</f>
        <v>1</v>
      </c>
      <c r="D292" s="21">
        <f t="shared" si="3"/>
        <v>236</v>
      </c>
    </row>
    <row r="293" ht="15.75" customHeight="1">
      <c r="A293" s="24">
        <f t="shared" si="2"/>
        <v>46557</v>
      </c>
      <c r="B293" s="21" t="str">
        <f t="shared" si="1"/>
        <v>sáb</v>
      </c>
      <c r="C293" s="21">
        <f>IF(OR(WEEKDAY(A293)=1,COUNTIF(FERIADOS,A293)&gt;0),0,1)</f>
        <v>1</v>
      </c>
      <c r="D293" s="21">
        <f t="shared" si="3"/>
        <v>237</v>
      </c>
    </row>
    <row r="294" ht="15.75" customHeight="1">
      <c r="A294" s="24">
        <f t="shared" si="2"/>
        <v>46558</v>
      </c>
      <c r="B294" s="21" t="str">
        <f t="shared" si="1"/>
        <v>dom</v>
      </c>
      <c r="C294" s="21">
        <f>IF(OR(WEEKDAY(A294)=1,COUNTIF(FERIADOS,A294)&gt;0),0,1)</f>
        <v>0</v>
      </c>
      <c r="D294" s="21">
        <f t="shared" si="3"/>
        <v>237</v>
      </c>
    </row>
    <row r="295" ht="15.75" customHeight="1">
      <c r="A295" s="24">
        <f t="shared" si="2"/>
        <v>46559</v>
      </c>
      <c r="B295" s="21" t="str">
        <f t="shared" si="1"/>
        <v>lun</v>
      </c>
      <c r="C295" s="21">
        <f>IF(OR(WEEKDAY(A295)=1,COUNTIF(FERIADOS,A295)&gt;0),0,1)</f>
        <v>1</v>
      </c>
      <c r="D295" s="21">
        <f t="shared" si="3"/>
        <v>238</v>
      </c>
    </row>
    <row r="296" ht="15.75" customHeight="1">
      <c r="A296" s="24">
        <f t="shared" si="2"/>
        <v>46560</v>
      </c>
      <c r="B296" s="21" t="str">
        <f t="shared" si="1"/>
        <v>mar</v>
      </c>
      <c r="C296" s="21">
        <f>IF(OR(WEEKDAY(A296)=1,COUNTIF(FERIADOS,A296)&gt;0),0,1)</f>
        <v>1</v>
      </c>
      <c r="D296" s="21">
        <f t="shared" si="3"/>
        <v>239</v>
      </c>
    </row>
    <row r="297" ht="15.75" customHeight="1">
      <c r="A297" s="24">
        <f t="shared" si="2"/>
        <v>46561</v>
      </c>
      <c r="B297" s="21" t="str">
        <f t="shared" si="1"/>
        <v>mié</v>
      </c>
      <c r="C297" s="21">
        <f>IF(OR(WEEKDAY(A297)=1,COUNTIF(FERIADOS,A297)&gt;0),0,1)</f>
        <v>1</v>
      </c>
      <c r="D297" s="21">
        <f t="shared" si="3"/>
        <v>240</v>
      </c>
    </row>
    <row r="298" ht="15.75" customHeight="1">
      <c r="A298" s="24">
        <f t="shared" si="2"/>
        <v>46562</v>
      </c>
      <c r="B298" s="21" t="str">
        <f t="shared" si="1"/>
        <v>jue</v>
      </c>
      <c r="C298" s="21">
        <f>IF(OR(WEEKDAY(A298)=1,COUNTIF(FERIADOS,A298)&gt;0),0,1)</f>
        <v>1</v>
      </c>
      <c r="D298" s="21">
        <f t="shared" si="3"/>
        <v>241</v>
      </c>
    </row>
    <row r="299" ht="15.75" customHeight="1">
      <c r="A299" s="24">
        <f t="shared" si="2"/>
        <v>46563</v>
      </c>
      <c r="B299" s="21" t="str">
        <f t="shared" si="1"/>
        <v>vie</v>
      </c>
      <c r="C299" s="21">
        <f>IF(OR(WEEKDAY(A299)=1,COUNTIF(FERIADOS,A299)&gt;0),0,1)</f>
        <v>1</v>
      </c>
      <c r="D299" s="21">
        <f t="shared" si="3"/>
        <v>242</v>
      </c>
    </row>
    <row r="300" ht="15.75" customHeight="1">
      <c r="A300" s="24">
        <f t="shared" si="2"/>
        <v>46564</v>
      </c>
      <c r="B300" s="21" t="str">
        <f t="shared" si="1"/>
        <v>sáb</v>
      </c>
      <c r="C300" s="21">
        <f>IF(OR(WEEKDAY(A300)=1,COUNTIF(FERIADOS,A300)&gt;0),0,1)</f>
        <v>1</v>
      </c>
      <c r="D300" s="21">
        <f t="shared" si="3"/>
        <v>243</v>
      </c>
    </row>
    <row r="301" ht="15.75" customHeight="1">
      <c r="A301" s="24">
        <f t="shared" si="2"/>
        <v>46565</v>
      </c>
      <c r="B301" s="21" t="str">
        <f t="shared" si="1"/>
        <v>dom</v>
      </c>
      <c r="C301" s="21">
        <f>IF(OR(WEEKDAY(A301)=1,COUNTIF(FERIADOS,A301)&gt;0),0,1)</f>
        <v>0</v>
      </c>
      <c r="D301" s="21">
        <f t="shared" si="3"/>
        <v>243</v>
      </c>
    </row>
    <row r="302" ht="15.75" customHeight="1">
      <c r="A302" s="24">
        <f t="shared" si="2"/>
        <v>46566</v>
      </c>
      <c r="B302" s="21" t="str">
        <f t="shared" si="1"/>
        <v>lun</v>
      </c>
      <c r="C302" s="21">
        <f>IF(OR(WEEKDAY(A302)=1,COUNTIF(FERIADOS,A302)&gt;0),0,1)</f>
        <v>1</v>
      </c>
      <c r="D302" s="21">
        <f t="shared" si="3"/>
        <v>244</v>
      </c>
    </row>
    <row r="303" ht="15.75" customHeight="1">
      <c r="A303" s="24">
        <f t="shared" si="2"/>
        <v>46567</v>
      </c>
      <c r="B303" s="21" t="str">
        <f t="shared" si="1"/>
        <v>mar</v>
      </c>
      <c r="C303" s="21">
        <f>IF(OR(WEEKDAY(A303)=1,COUNTIF(FERIADOS,A303)&gt;0),0,1)</f>
        <v>0</v>
      </c>
      <c r="D303" s="21">
        <f t="shared" si="3"/>
        <v>244</v>
      </c>
    </row>
    <row r="304" ht="15.75" customHeight="1">
      <c r="A304" s="24">
        <f t="shared" si="2"/>
        <v>46568</v>
      </c>
      <c r="B304" s="21" t="str">
        <f t="shared" si="1"/>
        <v>mié</v>
      </c>
      <c r="C304" s="21">
        <f>IF(OR(WEEKDAY(A304)=1,COUNTIF(FERIADOS,A304)&gt;0),0,1)</f>
        <v>1</v>
      </c>
      <c r="D304" s="21">
        <f t="shared" si="3"/>
        <v>245</v>
      </c>
    </row>
    <row r="305" ht="15.75" customHeight="1">
      <c r="A305" s="24">
        <f t="shared" si="2"/>
        <v>46569</v>
      </c>
      <c r="B305" s="21" t="str">
        <f t="shared" si="1"/>
        <v>jue</v>
      </c>
      <c r="C305" s="21">
        <f>IF(OR(WEEKDAY(A305)=1,COUNTIF(FERIADOS,A305)&gt;0),0,1)</f>
        <v>1</v>
      </c>
      <c r="D305" s="21">
        <f t="shared" si="3"/>
        <v>246</v>
      </c>
    </row>
    <row r="306" ht="15.75" customHeight="1">
      <c r="A306" s="24">
        <f t="shared" si="2"/>
        <v>46570</v>
      </c>
      <c r="B306" s="21" t="str">
        <f t="shared" si="1"/>
        <v>vie</v>
      </c>
      <c r="C306" s="21">
        <f>IF(OR(WEEKDAY(A306)=1,COUNTIF(FERIADOS,A306)&gt;0),0,1)</f>
        <v>1</v>
      </c>
      <c r="D306" s="21">
        <f t="shared" si="3"/>
        <v>247</v>
      </c>
    </row>
    <row r="307" ht="15.75" customHeight="1">
      <c r="A307" s="24">
        <f t="shared" si="2"/>
        <v>46571</v>
      </c>
      <c r="B307" s="21" t="str">
        <f t="shared" si="1"/>
        <v>sáb</v>
      </c>
      <c r="C307" s="21">
        <f>IF(OR(WEEKDAY(A307)=1,COUNTIF(FERIADOS,A307)&gt;0),0,1)</f>
        <v>1</v>
      </c>
      <c r="D307" s="21">
        <f t="shared" si="3"/>
        <v>248</v>
      </c>
    </row>
    <row r="308" ht="15.75" customHeight="1">
      <c r="A308" s="24">
        <f t="shared" si="2"/>
        <v>46572</v>
      </c>
      <c r="B308" s="21" t="str">
        <f t="shared" si="1"/>
        <v>dom</v>
      </c>
      <c r="C308" s="21">
        <f>IF(OR(WEEKDAY(A308)=1,COUNTIF(FERIADOS,A308)&gt;0),0,1)</f>
        <v>0</v>
      </c>
      <c r="D308" s="21">
        <f t="shared" si="3"/>
        <v>248</v>
      </c>
    </row>
    <row r="309" ht="15.75" customHeight="1">
      <c r="A309" s="24">
        <f t="shared" si="2"/>
        <v>46573</v>
      </c>
      <c r="B309" s="21" t="str">
        <f t="shared" si="1"/>
        <v>lun</v>
      </c>
      <c r="C309" s="21">
        <f>IF(OR(WEEKDAY(A309)=1,COUNTIF(FERIADOS,A309)&gt;0),0,1)</f>
        <v>1</v>
      </c>
      <c r="D309" s="21">
        <f t="shared" si="3"/>
        <v>249</v>
      </c>
    </row>
    <row r="310" ht="15.75" customHeight="1">
      <c r="A310" s="24">
        <f t="shared" si="2"/>
        <v>46574</v>
      </c>
      <c r="B310" s="21" t="str">
        <f t="shared" si="1"/>
        <v>mar</v>
      </c>
      <c r="C310" s="21">
        <f>IF(OR(WEEKDAY(A310)=1,COUNTIF(FERIADOS,A310)&gt;0),0,1)</f>
        <v>1</v>
      </c>
      <c r="D310" s="21">
        <f t="shared" si="3"/>
        <v>250</v>
      </c>
    </row>
    <row r="311" ht="15.75" customHeight="1">
      <c r="A311" s="24">
        <f t="shared" si="2"/>
        <v>46575</v>
      </c>
      <c r="B311" s="21" t="str">
        <f t="shared" si="1"/>
        <v>mié</v>
      </c>
      <c r="C311" s="21">
        <f>IF(OR(WEEKDAY(A311)=1,COUNTIF(FERIADOS,A311)&gt;0),0,1)</f>
        <v>1</v>
      </c>
      <c r="D311" s="21">
        <f t="shared" si="3"/>
        <v>251</v>
      </c>
    </row>
    <row r="312" ht="15.75" customHeight="1">
      <c r="A312" s="24">
        <f t="shared" si="2"/>
        <v>46576</v>
      </c>
      <c r="B312" s="21" t="str">
        <f t="shared" si="1"/>
        <v>jue</v>
      </c>
      <c r="C312" s="21">
        <f>IF(OR(WEEKDAY(A312)=1,COUNTIF(FERIADOS,A312)&gt;0),0,1)</f>
        <v>1</v>
      </c>
      <c r="D312" s="21">
        <f t="shared" si="3"/>
        <v>252</v>
      </c>
    </row>
    <row r="313" ht="15.75" customHeight="1">
      <c r="A313" s="24">
        <f t="shared" si="2"/>
        <v>46577</v>
      </c>
      <c r="B313" s="21" t="str">
        <f t="shared" si="1"/>
        <v>vie</v>
      </c>
      <c r="C313" s="21">
        <f>IF(OR(WEEKDAY(A313)=1,COUNTIF(FERIADOS,A313)&gt;0),0,1)</f>
        <v>1</v>
      </c>
      <c r="D313" s="21">
        <f t="shared" si="3"/>
        <v>253</v>
      </c>
    </row>
    <row r="314" ht="15.75" customHeight="1">
      <c r="A314" s="24">
        <f t="shared" si="2"/>
        <v>46578</v>
      </c>
      <c r="B314" s="21" t="str">
        <f t="shared" si="1"/>
        <v>sáb</v>
      </c>
      <c r="C314" s="21">
        <f>IF(OR(WEEKDAY(A314)=1,COUNTIF(FERIADOS,A314)&gt;0),0,1)</f>
        <v>1</v>
      </c>
      <c r="D314" s="21">
        <f t="shared" si="3"/>
        <v>254</v>
      </c>
    </row>
    <row r="315" ht="15.75" customHeight="1">
      <c r="A315" s="24">
        <f t="shared" si="2"/>
        <v>46579</v>
      </c>
      <c r="B315" s="21" t="str">
        <f t="shared" si="1"/>
        <v>dom</v>
      </c>
      <c r="C315" s="21">
        <f>IF(OR(WEEKDAY(A315)=1,COUNTIF(FERIADOS,A315)&gt;0),0,1)</f>
        <v>0</v>
      </c>
      <c r="D315" s="21">
        <f t="shared" si="3"/>
        <v>254</v>
      </c>
    </row>
    <row r="316" ht="15.75" customHeight="1">
      <c r="A316" s="24">
        <f t="shared" si="2"/>
        <v>46580</v>
      </c>
      <c r="B316" s="21" t="str">
        <f t="shared" si="1"/>
        <v>lun</v>
      </c>
      <c r="C316" s="21">
        <f>IF(OR(WEEKDAY(A316)=1,COUNTIF(FERIADOS,A316)&gt;0),0,1)</f>
        <v>1</v>
      </c>
      <c r="D316" s="21">
        <f t="shared" si="3"/>
        <v>255</v>
      </c>
    </row>
    <row r="317" ht="15.75" customHeight="1">
      <c r="A317" s="24">
        <f t="shared" si="2"/>
        <v>46581</v>
      </c>
      <c r="B317" s="21" t="str">
        <f t="shared" si="1"/>
        <v>mar</v>
      </c>
      <c r="C317" s="21">
        <f>IF(OR(WEEKDAY(A317)=1,COUNTIF(FERIADOS,A317)&gt;0),0,1)</f>
        <v>1</v>
      </c>
      <c r="D317" s="21">
        <f t="shared" si="3"/>
        <v>256</v>
      </c>
    </row>
    <row r="318" ht="15.75" customHeight="1">
      <c r="A318" s="24">
        <f t="shared" si="2"/>
        <v>46582</v>
      </c>
      <c r="B318" s="21" t="str">
        <f t="shared" si="1"/>
        <v>mié</v>
      </c>
      <c r="C318" s="21">
        <f>IF(OR(WEEKDAY(A318)=1,COUNTIF(FERIADOS,A318)&gt;0),0,1)</f>
        <v>1</v>
      </c>
      <c r="D318" s="21">
        <f t="shared" si="3"/>
        <v>257</v>
      </c>
    </row>
    <row r="319" ht="15.75" customHeight="1">
      <c r="A319" s="24">
        <f t="shared" si="2"/>
        <v>46583</v>
      </c>
      <c r="B319" s="21" t="str">
        <f t="shared" si="1"/>
        <v>jue</v>
      </c>
      <c r="C319" s="21">
        <f>IF(OR(WEEKDAY(A319)=1,COUNTIF(FERIADOS,A319)&gt;0),0,1)</f>
        <v>1</v>
      </c>
      <c r="D319" s="21">
        <f t="shared" si="3"/>
        <v>258</v>
      </c>
    </row>
    <row r="320" ht="15.75" customHeight="1">
      <c r="A320" s="24">
        <f t="shared" si="2"/>
        <v>46584</v>
      </c>
      <c r="B320" s="21" t="str">
        <f t="shared" si="1"/>
        <v>vie</v>
      </c>
      <c r="C320" s="21">
        <f>IF(OR(WEEKDAY(A320)=1,COUNTIF(FERIADOS,A320)&gt;0),0,1)</f>
        <v>1</v>
      </c>
      <c r="D320" s="21">
        <f t="shared" si="3"/>
        <v>259</v>
      </c>
    </row>
    <row r="321" ht="15.75" customHeight="1">
      <c r="A321" s="24">
        <f t="shared" si="2"/>
        <v>46585</v>
      </c>
      <c r="B321" s="21" t="str">
        <f t="shared" si="1"/>
        <v>sáb</v>
      </c>
      <c r="C321" s="21">
        <f>IF(OR(WEEKDAY(A321)=1,COUNTIF(FERIADOS,A321)&gt;0),0,1)</f>
        <v>1</v>
      </c>
      <c r="D321" s="21">
        <f t="shared" si="3"/>
        <v>260</v>
      </c>
    </row>
    <row r="322" ht="15.75" customHeight="1">
      <c r="A322" s="24">
        <f t="shared" si="2"/>
        <v>46586</v>
      </c>
      <c r="B322" s="21" t="str">
        <f t="shared" si="1"/>
        <v>dom</v>
      </c>
      <c r="C322" s="21">
        <f>IF(OR(WEEKDAY(A322)=1,COUNTIF(FERIADOS,A322)&gt;0),0,1)</f>
        <v>0</v>
      </c>
      <c r="D322" s="21">
        <f t="shared" si="3"/>
        <v>260</v>
      </c>
    </row>
    <row r="323" ht="15.75" customHeight="1">
      <c r="A323" s="24">
        <f t="shared" si="2"/>
        <v>46587</v>
      </c>
      <c r="B323" s="21" t="str">
        <f t="shared" si="1"/>
        <v>lun</v>
      </c>
      <c r="C323" s="21">
        <f>IF(OR(WEEKDAY(A323)=1,COUNTIF(FERIADOS,A323)&gt;0),0,1)</f>
        <v>1</v>
      </c>
      <c r="D323" s="21">
        <f t="shared" si="3"/>
        <v>261</v>
      </c>
    </row>
    <row r="324" ht="15.75" customHeight="1">
      <c r="A324" s="24">
        <f t="shared" si="2"/>
        <v>46588</v>
      </c>
      <c r="B324" s="21" t="str">
        <f t="shared" si="1"/>
        <v>mar</v>
      </c>
      <c r="C324" s="21">
        <f>IF(OR(WEEKDAY(A324)=1,COUNTIF(FERIADOS,A324)&gt;0),0,1)</f>
        <v>1</v>
      </c>
      <c r="D324" s="21">
        <f t="shared" si="3"/>
        <v>262</v>
      </c>
    </row>
    <row r="325" ht="15.75" customHeight="1">
      <c r="A325" s="24">
        <f t="shared" si="2"/>
        <v>46589</v>
      </c>
      <c r="B325" s="21" t="str">
        <f t="shared" si="1"/>
        <v>mié</v>
      </c>
      <c r="C325" s="21">
        <f>IF(OR(WEEKDAY(A325)=1,COUNTIF(FERIADOS,A325)&gt;0),0,1)</f>
        <v>1</v>
      </c>
      <c r="D325" s="21">
        <f t="shared" si="3"/>
        <v>263</v>
      </c>
    </row>
    <row r="326" ht="15.75" customHeight="1">
      <c r="A326" s="24">
        <f t="shared" si="2"/>
        <v>46590</v>
      </c>
      <c r="B326" s="21" t="str">
        <f t="shared" si="1"/>
        <v>jue</v>
      </c>
      <c r="C326" s="21">
        <f>IF(OR(WEEKDAY(A326)=1,COUNTIF(FERIADOS,A326)&gt;0),0,1)</f>
        <v>1</v>
      </c>
      <c r="D326" s="21">
        <f t="shared" si="3"/>
        <v>264</v>
      </c>
    </row>
    <row r="327" ht="15.75" customHeight="1">
      <c r="A327" s="24">
        <f t="shared" si="2"/>
        <v>46591</v>
      </c>
      <c r="B327" s="21" t="str">
        <f t="shared" si="1"/>
        <v>vie</v>
      </c>
      <c r="C327" s="21">
        <f>IF(OR(WEEKDAY(A327)=1,COUNTIF(FERIADOS,A327)&gt;0),0,1)</f>
        <v>0</v>
      </c>
      <c r="D327" s="21">
        <f t="shared" si="3"/>
        <v>264</v>
      </c>
    </row>
    <row r="328" ht="15.75" customHeight="1">
      <c r="A328" s="24">
        <f t="shared" si="2"/>
        <v>46592</v>
      </c>
      <c r="B328" s="21" t="str">
        <f t="shared" si="1"/>
        <v>sáb</v>
      </c>
      <c r="C328" s="21">
        <f>IF(OR(WEEKDAY(A328)=1,COUNTIF(FERIADOS,A328)&gt;0),0,1)</f>
        <v>1</v>
      </c>
      <c r="D328" s="21">
        <f t="shared" si="3"/>
        <v>265</v>
      </c>
    </row>
    <row r="329" ht="15.75" customHeight="1">
      <c r="A329" s="24">
        <f t="shared" si="2"/>
        <v>46593</v>
      </c>
      <c r="B329" s="21" t="str">
        <f t="shared" si="1"/>
        <v>dom</v>
      </c>
      <c r="C329" s="21">
        <f>IF(OR(WEEKDAY(A329)=1,COUNTIF(FERIADOS,A329)&gt;0),0,1)</f>
        <v>0</v>
      </c>
      <c r="D329" s="21">
        <f t="shared" si="3"/>
        <v>265</v>
      </c>
    </row>
    <row r="330" ht="15.75" customHeight="1">
      <c r="A330" s="24">
        <f t="shared" si="2"/>
        <v>46594</v>
      </c>
      <c r="B330" s="21" t="str">
        <f t="shared" si="1"/>
        <v>lun</v>
      </c>
      <c r="C330" s="21">
        <f>IF(OR(WEEKDAY(A330)=1,COUNTIF(FERIADOS,A330)&gt;0),0,1)</f>
        <v>1</v>
      </c>
      <c r="D330" s="21">
        <f t="shared" si="3"/>
        <v>266</v>
      </c>
    </row>
    <row r="331" ht="15.75" customHeight="1">
      <c r="A331" s="24">
        <f t="shared" si="2"/>
        <v>46595</v>
      </c>
      <c r="B331" s="21" t="str">
        <f t="shared" si="1"/>
        <v>mar</v>
      </c>
      <c r="C331" s="21">
        <f>IF(OR(WEEKDAY(A331)=1,COUNTIF(FERIADOS,A331)&gt;0),0,1)</f>
        <v>1</v>
      </c>
      <c r="D331" s="21">
        <f t="shared" si="3"/>
        <v>267</v>
      </c>
    </row>
    <row r="332" ht="15.75" customHeight="1">
      <c r="A332" s="24">
        <f t="shared" si="2"/>
        <v>46596</v>
      </c>
      <c r="B332" s="21" t="str">
        <f t="shared" si="1"/>
        <v>mié</v>
      </c>
      <c r="C332" s="21">
        <f>IF(OR(WEEKDAY(A332)=1,COUNTIF(FERIADOS,A332)&gt;0),0,1)</f>
        <v>0</v>
      </c>
      <c r="D332" s="21">
        <f t="shared" si="3"/>
        <v>267</v>
      </c>
    </row>
    <row r="333" ht="15.75" customHeight="1">
      <c r="A333" s="24">
        <f t="shared" si="2"/>
        <v>46597</v>
      </c>
      <c r="B333" s="21" t="str">
        <f t="shared" si="1"/>
        <v>jue</v>
      </c>
      <c r="C333" s="21">
        <f>IF(OR(WEEKDAY(A333)=1,COUNTIF(FERIADOS,A333)&gt;0),0,1)</f>
        <v>0</v>
      </c>
      <c r="D333" s="21">
        <f t="shared" si="3"/>
        <v>267</v>
      </c>
    </row>
    <row r="334" ht="15.75" customHeight="1">
      <c r="A334" s="24">
        <f t="shared" si="2"/>
        <v>46598</v>
      </c>
      <c r="B334" s="21" t="str">
        <f t="shared" si="1"/>
        <v>vie</v>
      </c>
      <c r="C334" s="21">
        <f>IF(OR(WEEKDAY(A334)=1,COUNTIF(FERIADOS,A334)&gt;0),0,1)</f>
        <v>1</v>
      </c>
      <c r="D334" s="21">
        <f t="shared" si="3"/>
        <v>268</v>
      </c>
    </row>
    <row r="335" ht="15.75" customHeight="1">
      <c r="A335" s="24">
        <f t="shared" si="2"/>
        <v>46599</v>
      </c>
      <c r="B335" s="21" t="str">
        <f t="shared" si="1"/>
        <v>sáb</v>
      </c>
      <c r="C335" s="21">
        <f>IF(OR(WEEKDAY(A335)=1,COUNTIF(FERIADOS,A335)&gt;0),0,1)</f>
        <v>1</v>
      </c>
      <c r="D335" s="21">
        <f t="shared" si="3"/>
        <v>269</v>
      </c>
    </row>
    <row r="336" ht="15.75" customHeight="1">
      <c r="A336" s="24">
        <f t="shared" si="2"/>
        <v>46600</v>
      </c>
      <c r="B336" s="21" t="str">
        <f t="shared" si="1"/>
        <v>dom</v>
      </c>
      <c r="C336" s="21">
        <f>IF(OR(WEEKDAY(A336)=1,COUNTIF(FERIADOS,A336)&gt;0),0,1)</f>
        <v>0</v>
      </c>
      <c r="D336" s="21">
        <f t="shared" si="3"/>
        <v>269</v>
      </c>
    </row>
    <row r="337" ht="15.75" customHeight="1">
      <c r="A337" s="24">
        <f t="shared" si="2"/>
        <v>46601</v>
      </c>
      <c r="B337" s="21" t="str">
        <f t="shared" si="1"/>
        <v>lun</v>
      </c>
      <c r="C337" s="21">
        <f>IF(OR(WEEKDAY(A337)=1,COUNTIF(FERIADOS,A337)&gt;0),0,1)</f>
        <v>1</v>
      </c>
      <c r="D337" s="21">
        <f t="shared" si="3"/>
        <v>270</v>
      </c>
    </row>
    <row r="338" ht="15.75" customHeight="1">
      <c r="A338" s="24">
        <f t="shared" si="2"/>
        <v>46602</v>
      </c>
      <c r="B338" s="21" t="str">
        <f t="shared" si="1"/>
        <v>mar</v>
      </c>
      <c r="C338" s="21">
        <f>IF(OR(WEEKDAY(A338)=1,COUNTIF(FERIADOS,A338)&gt;0),0,1)</f>
        <v>1</v>
      </c>
      <c r="D338" s="21">
        <f t="shared" si="3"/>
        <v>271</v>
      </c>
    </row>
    <row r="339" ht="15.75" customHeight="1">
      <c r="A339" s="24">
        <f t="shared" si="2"/>
        <v>46603</v>
      </c>
      <c r="B339" s="21" t="str">
        <f t="shared" si="1"/>
        <v>mié</v>
      </c>
      <c r="C339" s="21">
        <f>IF(OR(WEEKDAY(A339)=1,COUNTIF(FERIADOS,A339)&gt;0),0,1)</f>
        <v>1</v>
      </c>
      <c r="D339" s="21">
        <f t="shared" si="3"/>
        <v>272</v>
      </c>
    </row>
    <row r="340" ht="15.75" customHeight="1">
      <c r="A340" s="24">
        <f t="shared" si="2"/>
        <v>46604</v>
      </c>
      <c r="B340" s="21" t="str">
        <f t="shared" si="1"/>
        <v>jue</v>
      </c>
      <c r="C340" s="21">
        <f>IF(OR(WEEKDAY(A340)=1,COUNTIF(FERIADOS,A340)&gt;0),0,1)</f>
        <v>1</v>
      </c>
      <c r="D340" s="21">
        <f t="shared" si="3"/>
        <v>273</v>
      </c>
    </row>
    <row r="341" ht="15.75" customHeight="1">
      <c r="A341" s="24">
        <f t="shared" si="2"/>
        <v>46605</v>
      </c>
      <c r="B341" s="21" t="str">
        <f t="shared" si="1"/>
        <v>vie</v>
      </c>
      <c r="C341" s="21">
        <f>IF(OR(WEEKDAY(A341)=1,COUNTIF(FERIADOS,A341)&gt;0),0,1)</f>
        <v>0</v>
      </c>
      <c r="D341" s="21">
        <f t="shared" si="3"/>
        <v>273</v>
      </c>
    </row>
    <row r="342" ht="15.75" customHeight="1">
      <c r="A342" s="24">
        <f t="shared" si="2"/>
        <v>46606</v>
      </c>
      <c r="B342" s="21" t="str">
        <f t="shared" si="1"/>
        <v>sáb</v>
      </c>
      <c r="C342" s="21">
        <f>IF(OR(WEEKDAY(A342)=1,COUNTIF(FERIADOS,A342)&gt;0),0,1)</f>
        <v>1</v>
      </c>
      <c r="D342" s="21">
        <f t="shared" si="3"/>
        <v>274</v>
      </c>
    </row>
    <row r="343" ht="15.75" customHeight="1">
      <c r="A343" s="24">
        <f t="shared" si="2"/>
        <v>46607</v>
      </c>
      <c r="B343" s="21" t="str">
        <f t="shared" si="1"/>
        <v>dom</v>
      </c>
      <c r="C343" s="21">
        <f>IF(OR(WEEKDAY(A343)=1,COUNTIF(FERIADOS,A343)&gt;0),0,1)</f>
        <v>0</v>
      </c>
      <c r="D343" s="21">
        <f t="shared" si="3"/>
        <v>274</v>
      </c>
    </row>
    <row r="344" ht="15.75" customHeight="1">
      <c r="A344" s="24">
        <f t="shared" si="2"/>
        <v>46608</v>
      </c>
      <c r="B344" s="21" t="str">
        <f t="shared" si="1"/>
        <v>lun</v>
      </c>
      <c r="C344" s="21">
        <f>IF(OR(WEEKDAY(A344)=1,COUNTIF(FERIADOS,A344)&gt;0),0,1)</f>
        <v>1</v>
      </c>
      <c r="D344" s="21">
        <f t="shared" si="3"/>
        <v>275</v>
      </c>
    </row>
    <row r="345" ht="15.75" customHeight="1">
      <c r="A345" s="24">
        <f t="shared" si="2"/>
        <v>46609</v>
      </c>
      <c r="B345" s="21" t="str">
        <f t="shared" si="1"/>
        <v>mar</v>
      </c>
      <c r="C345" s="21">
        <f>IF(OR(WEEKDAY(A345)=1,COUNTIF(FERIADOS,A345)&gt;0),0,1)</f>
        <v>1</v>
      </c>
      <c r="D345" s="21">
        <f t="shared" si="3"/>
        <v>276</v>
      </c>
    </row>
    <row r="346" ht="15.75" customHeight="1">
      <c r="A346" s="24">
        <f t="shared" si="2"/>
        <v>46610</v>
      </c>
      <c r="B346" s="21" t="str">
        <f t="shared" si="1"/>
        <v>mié</v>
      </c>
      <c r="C346" s="21">
        <f>IF(OR(WEEKDAY(A346)=1,COUNTIF(FERIADOS,A346)&gt;0),0,1)</f>
        <v>1</v>
      </c>
      <c r="D346" s="21">
        <f t="shared" si="3"/>
        <v>277</v>
      </c>
    </row>
    <row r="347" ht="15.75" customHeight="1">
      <c r="A347" s="24">
        <f t="shared" si="2"/>
        <v>46611</v>
      </c>
      <c r="B347" s="21" t="str">
        <f t="shared" si="1"/>
        <v>jue</v>
      </c>
      <c r="C347" s="21">
        <f>IF(OR(WEEKDAY(A347)=1,COUNTIF(FERIADOS,A347)&gt;0),0,1)</f>
        <v>1</v>
      </c>
      <c r="D347" s="21">
        <f t="shared" si="3"/>
        <v>278</v>
      </c>
    </row>
    <row r="348" ht="15.75" customHeight="1">
      <c r="A348" s="24">
        <f t="shared" si="2"/>
        <v>46612</v>
      </c>
      <c r="B348" s="21" t="str">
        <f t="shared" si="1"/>
        <v>vie</v>
      </c>
      <c r="C348" s="21">
        <f>IF(OR(WEEKDAY(A348)=1,COUNTIF(FERIADOS,A348)&gt;0),0,1)</f>
        <v>1</v>
      </c>
      <c r="D348" s="21">
        <f t="shared" si="3"/>
        <v>279</v>
      </c>
    </row>
    <row r="349" ht="15.75" customHeight="1">
      <c r="A349" s="24">
        <f t="shared" si="2"/>
        <v>46613</v>
      </c>
      <c r="B349" s="21" t="str">
        <f t="shared" si="1"/>
        <v>sáb</v>
      </c>
      <c r="C349" s="21">
        <f>IF(OR(WEEKDAY(A349)=1,COUNTIF(FERIADOS,A349)&gt;0),0,1)</f>
        <v>1</v>
      </c>
      <c r="D349" s="21">
        <f t="shared" si="3"/>
        <v>280</v>
      </c>
    </row>
    <row r="350" ht="15.75" customHeight="1">
      <c r="A350" s="24">
        <f t="shared" si="2"/>
        <v>46614</v>
      </c>
      <c r="B350" s="21" t="str">
        <f t="shared" si="1"/>
        <v>dom</v>
      </c>
      <c r="C350" s="21">
        <f>IF(OR(WEEKDAY(A350)=1,COUNTIF(FERIADOS,A350)&gt;0),0,1)</f>
        <v>0</v>
      </c>
      <c r="D350" s="21">
        <f t="shared" si="3"/>
        <v>280</v>
      </c>
    </row>
    <row r="351" ht="15.75" customHeight="1">
      <c r="A351" s="24">
        <f t="shared" si="2"/>
        <v>46615</v>
      </c>
      <c r="B351" s="21" t="str">
        <f t="shared" si="1"/>
        <v>lun</v>
      </c>
      <c r="C351" s="21">
        <f>IF(OR(WEEKDAY(A351)=1,COUNTIF(FERIADOS,A351)&gt;0),0,1)</f>
        <v>1</v>
      </c>
      <c r="D351" s="21">
        <f t="shared" si="3"/>
        <v>281</v>
      </c>
    </row>
    <row r="352" ht="15.75" customHeight="1">
      <c r="A352" s="24">
        <f t="shared" si="2"/>
        <v>46616</v>
      </c>
      <c r="B352" s="21" t="str">
        <f t="shared" si="1"/>
        <v>mar</v>
      </c>
      <c r="C352" s="21">
        <f>IF(OR(WEEKDAY(A352)=1,COUNTIF(FERIADOS,A352)&gt;0),0,1)</f>
        <v>1</v>
      </c>
      <c r="D352" s="21">
        <f t="shared" si="3"/>
        <v>282</v>
      </c>
    </row>
    <row r="353" ht="15.75" customHeight="1">
      <c r="A353" s="24">
        <f t="shared" si="2"/>
        <v>46617</v>
      </c>
      <c r="B353" s="21" t="str">
        <f t="shared" si="1"/>
        <v>mié</v>
      </c>
      <c r="C353" s="21">
        <f>IF(OR(WEEKDAY(A353)=1,COUNTIF(FERIADOS,A353)&gt;0),0,1)</f>
        <v>1</v>
      </c>
      <c r="D353" s="21">
        <f t="shared" si="3"/>
        <v>283</v>
      </c>
    </row>
    <row r="354" ht="15.75" customHeight="1">
      <c r="A354" s="24">
        <f t="shared" si="2"/>
        <v>46618</v>
      </c>
      <c r="B354" s="21" t="str">
        <f t="shared" si="1"/>
        <v>jue</v>
      </c>
      <c r="C354" s="21">
        <f>IF(OR(WEEKDAY(A354)=1,COUNTIF(FERIADOS,A354)&gt;0),0,1)</f>
        <v>1</v>
      </c>
      <c r="D354" s="21">
        <f t="shared" si="3"/>
        <v>284</v>
      </c>
    </row>
    <row r="355" ht="15.75" customHeight="1">
      <c r="A355" s="24">
        <f t="shared" si="2"/>
        <v>46619</v>
      </c>
      <c r="B355" s="21" t="str">
        <f t="shared" si="1"/>
        <v>vie</v>
      </c>
      <c r="C355" s="21">
        <f>IF(OR(WEEKDAY(A355)=1,COUNTIF(FERIADOS,A355)&gt;0),0,1)</f>
        <v>1</v>
      </c>
      <c r="D355" s="21">
        <f t="shared" si="3"/>
        <v>285</v>
      </c>
    </row>
    <row r="356" ht="15.75" customHeight="1">
      <c r="A356" s="24">
        <f t="shared" si="2"/>
        <v>46620</v>
      </c>
      <c r="B356" s="21" t="str">
        <f t="shared" si="1"/>
        <v>sáb</v>
      </c>
      <c r="C356" s="21">
        <f>IF(OR(WEEKDAY(A356)=1,COUNTIF(FERIADOS,A356)&gt;0),0,1)</f>
        <v>1</v>
      </c>
      <c r="D356" s="21">
        <f t="shared" si="3"/>
        <v>286</v>
      </c>
    </row>
    <row r="357" ht="15.75" customHeight="1">
      <c r="A357" s="24">
        <f t="shared" si="2"/>
        <v>46621</v>
      </c>
      <c r="B357" s="21" t="str">
        <f t="shared" si="1"/>
        <v>dom</v>
      </c>
      <c r="C357" s="21">
        <f>IF(OR(WEEKDAY(A357)=1,COUNTIF(FERIADOS,A357)&gt;0),0,1)</f>
        <v>0</v>
      </c>
      <c r="D357" s="21">
        <f t="shared" si="3"/>
        <v>286</v>
      </c>
    </row>
    <row r="358" ht="15.75" customHeight="1">
      <c r="A358" s="24">
        <f t="shared" si="2"/>
        <v>46622</v>
      </c>
      <c r="B358" s="21" t="str">
        <f t="shared" si="1"/>
        <v>lun</v>
      </c>
      <c r="C358" s="21">
        <f>IF(OR(WEEKDAY(A358)=1,COUNTIF(FERIADOS,A358)&gt;0),0,1)</f>
        <v>1</v>
      </c>
      <c r="D358" s="21">
        <f t="shared" si="3"/>
        <v>287</v>
      </c>
    </row>
    <row r="359" ht="15.75" customHeight="1">
      <c r="A359" s="24">
        <f t="shared" si="2"/>
        <v>46623</v>
      </c>
      <c r="B359" s="21" t="str">
        <f t="shared" si="1"/>
        <v>mar</v>
      </c>
      <c r="C359" s="21">
        <f>IF(OR(WEEKDAY(A359)=1,COUNTIF(FERIADOS,A359)&gt;0),0,1)</f>
        <v>1</v>
      </c>
      <c r="D359" s="21">
        <f t="shared" si="3"/>
        <v>288</v>
      </c>
    </row>
    <row r="360" ht="15.75" customHeight="1">
      <c r="A360" s="24">
        <f t="shared" si="2"/>
        <v>46624</v>
      </c>
      <c r="B360" s="21" t="str">
        <f t="shared" si="1"/>
        <v>mié</v>
      </c>
      <c r="C360" s="21">
        <f>IF(OR(WEEKDAY(A360)=1,COUNTIF(FERIADOS,A360)&gt;0),0,1)</f>
        <v>1</v>
      </c>
      <c r="D360" s="21">
        <f t="shared" si="3"/>
        <v>289</v>
      </c>
    </row>
    <row r="361" ht="15.75" customHeight="1">
      <c r="A361" s="24">
        <f t="shared" si="2"/>
        <v>46625</v>
      </c>
      <c r="B361" s="21" t="str">
        <f t="shared" si="1"/>
        <v>jue</v>
      </c>
      <c r="C361" s="21">
        <f>IF(OR(WEEKDAY(A361)=1,COUNTIF(FERIADOS,A361)&gt;0),0,1)</f>
        <v>1</v>
      </c>
      <c r="D361" s="21">
        <f t="shared" si="3"/>
        <v>290</v>
      </c>
    </row>
    <row r="362" ht="15.75" customHeight="1">
      <c r="A362" s="24">
        <f t="shared" si="2"/>
        <v>46626</v>
      </c>
      <c r="B362" s="21" t="str">
        <f t="shared" si="1"/>
        <v>vie</v>
      </c>
      <c r="C362" s="21">
        <f>IF(OR(WEEKDAY(A362)=1,COUNTIF(FERIADOS,A362)&gt;0),0,1)</f>
        <v>1</v>
      </c>
      <c r="D362" s="21">
        <f t="shared" si="3"/>
        <v>291</v>
      </c>
    </row>
    <row r="363" ht="15.75" customHeight="1">
      <c r="A363" s="24">
        <f t="shared" si="2"/>
        <v>46627</v>
      </c>
      <c r="B363" s="21" t="str">
        <f t="shared" si="1"/>
        <v>sáb</v>
      </c>
      <c r="C363" s="21">
        <f>IF(OR(WEEKDAY(A363)=1,COUNTIF(FERIADOS,A363)&gt;0),0,1)</f>
        <v>1</v>
      </c>
      <c r="D363" s="21">
        <f t="shared" si="3"/>
        <v>292</v>
      </c>
    </row>
    <row r="364" ht="15.75" customHeight="1">
      <c r="A364" s="24">
        <f t="shared" si="2"/>
        <v>46628</v>
      </c>
      <c r="B364" s="21" t="str">
        <f t="shared" si="1"/>
        <v>dom</v>
      </c>
      <c r="C364" s="21">
        <f>IF(OR(WEEKDAY(A364)=1,COUNTIF(FERIADOS,A364)&gt;0),0,1)</f>
        <v>0</v>
      </c>
      <c r="D364" s="21">
        <f t="shared" si="3"/>
        <v>292</v>
      </c>
    </row>
    <row r="365" ht="15.75" customHeight="1">
      <c r="A365" s="24">
        <f t="shared" si="2"/>
        <v>46629</v>
      </c>
      <c r="B365" s="21" t="str">
        <f t="shared" si="1"/>
        <v>lun</v>
      </c>
      <c r="C365" s="21">
        <f>IF(OR(WEEKDAY(A365)=1,COUNTIF(FERIADOS,A365)&gt;0),0,1)</f>
        <v>0</v>
      </c>
      <c r="D365" s="21">
        <f t="shared" si="3"/>
        <v>292</v>
      </c>
    </row>
    <row r="366" ht="15.75" customHeight="1">
      <c r="A366" s="24">
        <f t="shared" si="2"/>
        <v>46630</v>
      </c>
      <c r="B366" s="21" t="str">
        <f t="shared" si="1"/>
        <v>mar</v>
      </c>
      <c r="C366" s="21">
        <f>IF(OR(WEEKDAY(A366)=1,COUNTIF(FERIADOS,A366)&gt;0),0,1)</f>
        <v>1</v>
      </c>
      <c r="D366" s="21">
        <f t="shared" si="3"/>
        <v>293</v>
      </c>
    </row>
    <row r="367" ht="15.75" customHeight="1">
      <c r="A367" s="24">
        <f t="shared" si="2"/>
        <v>46631</v>
      </c>
      <c r="B367" s="21" t="str">
        <f t="shared" si="1"/>
        <v>mié</v>
      </c>
      <c r="C367" s="21">
        <f>IF(OR(WEEKDAY(A367)=1,COUNTIF(FERIADOS,A367)&gt;0),0,1)</f>
        <v>1</v>
      </c>
      <c r="D367" s="21">
        <f t="shared" si="3"/>
        <v>294</v>
      </c>
    </row>
    <row r="368" ht="15.75" customHeight="1">
      <c r="A368" s="24">
        <f t="shared" si="2"/>
        <v>46632</v>
      </c>
      <c r="B368" s="21" t="str">
        <f t="shared" si="1"/>
        <v>jue</v>
      </c>
      <c r="C368" s="21">
        <f>IF(OR(WEEKDAY(A368)=1,COUNTIF(FERIADOS,A368)&gt;0),0,1)</f>
        <v>1</v>
      </c>
      <c r="D368" s="21">
        <f t="shared" si="3"/>
        <v>295</v>
      </c>
    </row>
    <row r="369" ht="15.75" customHeight="1">
      <c r="A369" s="24">
        <f t="shared" si="2"/>
        <v>46633</v>
      </c>
      <c r="B369" s="21" t="str">
        <f t="shared" si="1"/>
        <v>vie</v>
      </c>
      <c r="C369" s="21">
        <f>IF(OR(WEEKDAY(A369)=1,COUNTIF(FERIADOS,A369)&gt;0),0,1)</f>
        <v>1</v>
      </c>
      <c r="D369" s="21">
        <f t="shared" si="3"/>
        <v>296</v>
      </c>
    </row>
    <row r="370" ht="15.75" customHeight="1">
      <c r="A370" s="24">
        <f t="shared" si="2"/>
        <v>46634</v>
      </c>
      <c r="B370" s="21" t="str">
        <f t="shared" si="1"/>
        <v>sáb</v>
      </c>
      <c r="C370" s="21">
        <f>IF(OR(WEEKDAY(A370)=1,COUNTIF(FERIADOS,A370)&gt;0),0,1)</f>
        <v>1</v>
      </c>
      <c r="D370" s="21">
        <f t="shared" si="3"/>
        <v>297</v>
      </c>
    </row>
    <row r="371" ht="15.75" customHeight="1">
      <c r="A371" s="24">
        <f t="shared" si="2"/>
        <v>46635</v>
      </c>
      <c r="B371" s="21" t="str">
        <f t="shared" si="1"/>
        <v>dom</v>
      </c>
      <c r="C371" s="21">
        <f>IF(OR(WEEKDAY(A371)=1,COUNTIF(FERIADOS,A371)&gt;0),0,1)</f>
        <v>0</v>
      </c>
      <c r="D371" s="21">
        <f t="shared" si="3"/>
        <v>297</v>
      </c>
    </row>
    <row r="372" ht="15.75" customHeight="1">
      <c r="A372" s="24">
        <f t="shared" si="2"/>
        <v>46636</v>
      </c>
      <c r="B372" s="21" t="str">
        <f t="shared" si="1"/>
        <v>lun</v>
      </c>
      <c r="C372" s="21">
        <f>IF(OR(WEEKDAY(A372)=1,COUNTIF(FERIADOS,A372)&gt;0),0,1)</f>
        <v>1</v>
      </c>
      <c r="D372" s="21">
        <f t="shared" si="3"/>
        <v>298</v>
      </c>
    </row>
    <row r="373" ht="15.75" customHeight="1">
      <c r="A373" s="24">
        <f t="shared" si="2"/>
        <v>46637</v>
      </c>
      <c r="B373" s="21" t="str">
        <f t="shared" si="1"/>
        <v>mar</v>
      </c>
      <c r="C373" s="21">
        <f>IF(OR(WEEKDAY(A373)=1,COUNTIF(FERIADOS,A373)&gt;0),0,1)</f>
        <v>1</v>
      </c>
      <c r="D373" s="21">
        <f t="shared" si="3"/>
        <v>299</v>
      </c>
    </row>
    <row r="374" ht="15.75" customHeight="1">
      <c r="A374" s="24">
        <f t="shared" si="2"/>
        <v>46638</v>
      </c>
      <c r="B374" s="21" t="str">
        <f t="shared" si="1"/>
        <v>mié</v>
      </c>
      <c r="C374" s="21">
        <f>IF(OR(WEEKDAY(A374)=1,COUNTIF(FERIADOS,A374)&gt;0),0,1)</f>
        <v>1</v>
      </c>
      <c r="D374" s="21">
        <f t="shared" si="3"/>
        <v>300</v>
      </c>
    </row>
    <row r="375" ht="15.75" customHeight="1">
      <c r="A375" s="24">
        <f t="shared" si="2"/>
        <v>46639</v>
      </c>
      <c r="B375" s="21" t="str">
        <f t="shared" si="1"/>
        <v>jue</v>
      </c>
      <c r="C375" s="21">
        <f>IF(OR(WEEKDAY(A375)=1,COUNTIF(FERIADOS,A375)&gt;0),0,1)</f>
        <v>1</v>
      </c>
      <c r="D375" s="21">
        <f t="shared" si="3"/>
        <v>301</v>
      </c>
    </row>
    <row r="376" ht="15.75" customHeight="1">
      <c r="A376" s="24">
        <f t="shared" si="2"/>
        <v>46640</v>
      </c>
      <c r="B376" s="21" t="str">
        <f t="shared" si="1"/>
        <v>vie</v>
      </c>
      <c r="C376" s="21">
        <f>IF(OR(WEEKDAY(A376)=1,COUNTIF(FERIADOS,A376)&gt;0),0,1)</f>
        <v>1</v>
      </c>
      <c r="D376" s="21">
        <f t="shared" si="3"/>
        <v>302</v>
      </c>
    </row>
    <row r="377" ht="15.75" customHeight="1">
      <c r="A377" s="24">
        <f t="shared" si="2"/>
        <v>46641</v>
      </c>
      <c r="B377" s="21" t="str">
        <f t="shared" si="1"/>
        <v>sáb</v>
      </c>
      <c r="C377" s="21">
        <f>IF(OR(WEEKDAY(A377)=1,COUNTIF(FERIADOS,A377)&gt;0),0,1)</f>
        <v>1</v>
      </c>
      <c r="D377" s="21">
        <f t="shared" si="3"/>
        <v>303</v>
      </c>
    </row>
    <row r="378" ht="15.75" customHeight="1">
      <c r="A378" s="24">
        <f t="shared" si="2"/>
        <v>46642</v>
      </c>
      <c r="B378" s="21" t="str">
        <f t="shared" si="1"/>
        <v>dom</v>
      </c>
      <c r="C378" s="21">
        <f>IF(OR(WEEKDAY(A378)=1,COUNTIF(FERIADOS,A378)&gt;0),0,1)</f>
        <v>0</v>
      </c>
      <c r="D378" s="21">
        <f t="shared" si="3"/>
        <v>303</v>
      </c>
    </row>
    <row r="379" ht="15.75" customHeight="1">
      <c r="A379" s="24">
        <f t="shared" si="2"/>
        <v>46643</v>
      </c>
      <c r="B379" s="21" t="str">
        <f t="shared" si="1"/>
        <v>lun</v>
      </c>
      <c r="C379" s="21">
        <f>IF(OR(WEEKDAY(A379)=1,COUNTIF(FERIADOS,A379)&gt;0),0,1)</f>
        <v>1</v>
      </c>
      <c r="D379" s="21">
        <f t="shared" si="3"/>
        <v>304</v>
      </c>
    </row>
    <row r="380" ht="15.75" customHeight="1">
      <c r="A380" s="24">
        <f t="shared" si="2"/>
        <v>46644</v>
      </c>
      <c r="B380" s="21" t="str">
        <f t="shared" si="1"/>
        <v>mar</v>
      </c>
      <c r="C380" s="21">
        <f>IF(OR(WEEKDAY(A380)=1,COUNTIF(FERIADOS,A380)&gt;0),0,1)</f>
        <v>1</v>
      </c>
      <c r="D380" s="21">
        <f t="shared" si="3"/>
        <v>305</v>
      </c>
    </row>
    <row r="381" ht="15.75" customHeight="1">
      <c r="A381" s="24">
        <f t="shared" si="2"/>
        <v>46645</v>
      </c>
      <c r="B381" s="21" t="str">
        <f t="shared" si="1"/>
        <v>mié</v>
      </c>
      <c r="C381" s="21">
        <f>IF(OR(WEEKDAY(A381)=1,COUNTIF(FERIADOS,A381)&gt;0),0,1)</f>
        <v>1</v>
      </c>
      <c r="D381" s="21">
        <f t="shared" si="3"/>
        <v>306</v>
      </c>
    </row>
    <row r="382" ht="15.75" customHeight="1">
      <c r="A382" s="24">
        <f t="shared" si="2"/>
        <v>46646</v>
      </c>
      <c r="B382" s="21" t="str">
        <f t="shared" si="1"/>
        <v>jue</v>
      </c>
      <c r="C382" s="21">
        <f>IF(OR(WEEKDAY(A382)=1,COUNTIF(FERIADOS,A382)&gt;0),0,1)</f>
        <v>1</v>
      </c>
      <c r="D382" s="21">
        <f t="shared" si="3"/>
        <v>307</v>
      </c>
    </row>
    <row r="383" ht="15.75" customHeight="1">
      <c r="A383" s="24">
        <f t="shared" si="2"/>
        <v>46647</v>
      </c>
      <c r="B383" s="21" t="str">
        <f t="shared" si="1"/>
        <v>vie</v>
      </c>
      <c r="C383" s="21">
        <f>IF(OR(WEEKDAY(A383)=1,COUNTIF(FERIADOS,A383)&gt;0),0,1)</f>
        <v>1</v>
      </c>
      <c r="D383" s="21">
        <f t="shared" si="3"/>
        <v>308</v>
      </c>
    </row>
    <row r="384" ht="15.75" customHeight="1">
      <c r="A384" s="24">
        <f t="shared" si="2"/>
        <v>46648</v>
      </c>
      <c r="B384" s="21" t="str">
        <f t="shared" si="1"/>
        <v>sáb</v>
      </c>
      <c r="C384" s="21">
        <f>IF(OR(WEEKDAY(A384)=1,COUNTIF(FERIADOS,A384)&gt;0),0,1)</f>
        <v>1</v>
      </c>
      <c r="D384" s="21">
        <f t="shared" si="3"/>
        <v>309</v>
      </c>
    </row>
    <row r="385" ht="15.75" customHeight="1">
      <c r="A385" s="24">
        <f t="shared" si="2"/>
        <v>46649</v>
      </c>
      <c r="B385" s="21" t="str">
        <f t="shared" si="1"/>
        <v>dom</v>
      </c>
      <c r="C385" s="21">
        <f>IF(OR(WEEKDAY(A385)=1,COUNTIF(FERIADOS,A385)&gt;0),0,1)</f>
        <v>0</v>
      </c>
      <c r="D385" s="21">
        <f t="shared" si="3"/>
        <v>309</v>
      </c>
    </row>
    <row r="386" ht="15.75" customHeight="1">
      <c r="A386" s="24">
        <f t="shared" si="2"/>
        <v>46650</v>
      </c>
      <c r="B386" s="21" t="str">
        <f t="shared" si="1"/>
        <v>lun</v>
      </c>
      <c r="C386" s="21">
        <f>IF(OR(WEEKDAY(A386)=1,COUNTIF(FERIADOS,A386)&gt;0),0,1)</f>
        <v>1</v>
      </c>
      <c r="D386" s="21">
        <f t="shared" si="3"/>
        <v>310</v>
      </c>
    </row>
    <row r="387" ht="15.75" customHeight="1">
      <c r="A387" s="24">
        <f t="shared" si="2"/>
        <v>46651</v>
      </c>
      <c r="B387" s="21" t="str">
        <f t="shared" si="1"/>
        <v>mar</v>
      </c>
      <c r="C387" s="21">
        <f>IF(OR(WEEKDAY(A387)=1,COUNTIF(FERIADOS,A387)&gt;0),0,1)</f>
        <v>1</v>
      </c>
      <c r="D387" s="21">
        <f t="shared" si="3"/>
        <v>311</v>
      </c>
    </row>
    <row r="388" ht="15.75" customHeight="1">
      <c r="A388" s="24">
        <f t="shared" si="2"/>
        <v>46652</v>
      </c>
      <c r="B388" s="21" t="str">
        <f t="shared" si="1"/>
        <v>mié</v>
      </c>
      <c r="C388" s="21">
        <f>IF(OR(WEEKDAY(A388)=1,COUNTIF(FERIADOS,A388)&gt;0),0,1)</f>
        <v>1</v>
      </c>
      <c r="D388" s="21">
        <f t="shared" si="3"/>
        <v>312</v>
      </c>
    </row>
    <row r="389" ht="15.75" customHeight="1">
      <c r="A389" s="24">
        <f t="shared" si="2"/>
        <v>46653</v>
      </c>
      <c r="B389" s="21" t="str">
        <f t="shared" si="1"/>
        <v>jue</v>
      </c>
      <c r="C389" s="21">
        <f>IF(OR(WEEKDAY(A389)=1,COUNTIF(FERIADOS,A389)&gt;0),0,1)</f>
        <v>1</v>
      </c>
      <c r="D389" s="21">
        <f t="shared" si="3"/>
        <v>313</v>
      </c>
    </row>
    <row r="390" ht="15.75" customHeight="1">
      <c r="A390" s="24">
        <f t="shared" si="2"/>
        <v>46654</v>
      </c>
      <c r="B390" s="21" t="str">
        <f t="shared" si="1"/>
        <v>vie</v>
      </c>
      <c r="C390" s="21">
        <f>IF(OR(WEEKDAY(A390)=1,COUNTIF(FERIADOS,A390)&gt;0),0,1)</f>
        <v>1</v>
      </c>
      <c r="D390" s="21">
        <f t="shared" si="3"/>
        <v>314</v>
      </c>
    </row>
    <row r="391" ht="15.75" customHeight="1">
      <c r="A391" s="24">
        <f t="shared" si="2"/>
        <v>46655</v>
      </c>
      <c r="B391" s="21" t="str">
        <f t="shared" si="1"/>
        <v>sáb</v>
      </c>
      <c r="C391" s="21">
        <f>IF(OR(WEEKDAY(A391)=1,COUNTIF(FERIADOS,A391)&gt;0),0,1)</f>
        <v>1</v>
      </c>
      <c r="D391" s="21">
        <f t="shared" si="3"/>
        <v>315</v>
      </c>
    </row>
    <row r="392" ht="15.75" customHeight="1">
      <c r="A392" s="24">
        <f t="shared" si="2"/>
        <v>46656</v>
      </c>
      <c r="B392" s="21" t="str">
        <f t="shared" si="1"/>
        <v>dom</v>
      </c>
      <c r="C392" s="21">
        <f>IF(OR(WEEKDAY(A392)=1,COUNTIF(FERIADOS,A392)&gt;0),0,1)</f>
        <v>0</v>
      </c>
      <c r="D392" s="21">
        <f t="shared" si="3"/>
        <v>315</v>
      </c>
    </row>
    <row r="393" ht="15.75" customHeight="1">
      <c r="A393" s="24">
        <f t="shared" si="2"/>
        <v>46657</v>
      </c>
      <c r="B393" s="21" t="str">
        <f t="shared" si="1"/>
        <v>lun</v>
      </c>
      <c r="C393" s="21">
        <f>IF(OR(WEEKDAY(A393)=1,COUNTIF(FERIADOS,A393)&gt;0),0,1)</f>
        <v>1</v>
      </c>
      <c r="D393" s="21">
        <f t="shared" si="3"/>
        <v>316</v>
      </c>
    </row>
    <row r="394" ht="15.75" customHeight="1">
      <c r="A394" s="24">
        <f t="shared" si="2"/>
        <v>46658</v>
      </c>
      <c r="B394" s="21" t="str">
        <f t="shared" si="1"/>
        <v>mar</v>
      </c>
      <c r="C394" s="21">
        <f>IF(OR(WEEKDAY(A394)=1,COUNTIF(FERIADOS,A394)&gt;0),0,1)</f>
        <v>1</v>
      </c>
      <c r="D394" s="21">
        <f t="shared" si="3"/>
        <v>317</v>
      </c>
    </row>
    <row r="395" ht="15.75" customHeight="1">
      <c r="A395" s="24">
        <f t="shared" si="2"/>
        <v>46659</v>
      </c>
      <c r="B395" s="21" t="str">
        <f t="shared" si="1"/>
        <v>mié</v>
      </c>
      <c r="C395" s="21">
        <f>IF(OR(WEEKDAY(A395)=1,COUNTIF(FERIADOS,A395)&gt;0),0,1)</f>
        <v>1</v>
      </c>
      <c r="D395" s="21">
        <f t="shared" si="3"/>
        <v>318</v>
      </c>
    </row>
    <row r="396" ht="15.75" customHeight="1">
      <c r="A396" s="24">
        <f t="shared" si="2"/>
        <v>46660</v>
      </c>
      <c r="B396" s="21" t="str">
        <f t="shared" si="1"/>
        <v>jue</v>
      </c>
      <c r="C396" s="21">
        <f>IF(OR(WEEKDAY(A396)=1,COUNTIF(FERIADOS,A396)&gt;0),0,1)</f>
        <v>1</v>
      </c>
      <c r="D396" s="21">
        <f t="shared" si="3"/>
        <v>319</v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 outlineLevelRow="4"/>
  <cols>
    <col customWidth="1" min="1" max="1" width="52.0"/>
    <col customWidth="1" min="2" max="3" width="13.0"/>
    <col customWidth="1" min="4" max="4" width="9.0"/>
    <col customWidth="1" min="5" max="5" width="80.0"/>
    <col customWidth="1" min="6" max="26" width="8.71"/>
  </cols>
  <sheetData>
    <row r="1">
      <c r="A1" s="1" t="s">
        <v>1</v>
      </c>
    </row>
    <row r="2">
      <c r="A2" s="5" t="s">
        <v>5</v>
      </c>
    </row>
    <row r="4">
      <c r="A4" s="8" t="s">
        <v>9</v>
      </c>
      <c r="B4" s="8" t="s">
        <v>11</v>
      </c>
      <c r="C4" s="8" t="s">
        <v>12</v>
      </c>
      <c r="D4" s="8" t="s">
        <v>13</v>
      </c>
      <c r="E4" s="8" t="s">
        <v>14</v>
      </c>
    </row>
    <row r="5" ht="33.75" customHeight="1">
      <c r="A5" s="11" t="s">
        <v>15</v>
      </c>
      <c r="B5" s="17">
        <f>MIN(Predictivo!$F$30)</f>
        <v>46279</v>
      </c>
      <c r="C5" s="17">
        <f>MAX(Predictivo!$G$30)</f>
        <v>46312</v>
      </c>
      <c r="D5" s="22">
        <f t="array" ref="D5">INDEX(NLAB,MATCH(C5,FECHAS,0))-INDEX(NLAB,MATCH(B5,FECHAS,0))+1</f>
        <v>29</v>
      </c>
      <c r="E5" s="11" t="str">
        <f>"H01 "&amp;MID(Predictivo!$D$8,3,200)&amp;" ("&amp;TEXT(DAY(Predictivo!$F$8),"00")&amp;"/"&amp;TEXT(MONTH(Predictivo!$F$8),"00")&amp;"/"&amp;YEAR(Predictivo!$F$8)&amp;")"&amp;CHAR(10)&amp;"H02 "&amp;MID(Predictivo!$D$9,3,200)&amp;" ("&amp;TEXT(DAY(Predictivo!$F$9),"00")&amp;"/"&amp;TEXT(MONTH(Predictivo!$F$9),"00")&amp;"/"&amp;YEAR(Predictivo!$F$9)&amp;")"</f>
        <v>H01 cta de Constitución aprobada y Gerente de Proyecto designado (14/09/2026)
H02 eunión de lanzamiento (kick-off) y responsables por área asignados (21/09/2026)</v>
      </c>
    </row>
    <row r="6" ht="30.0" customHeight="1">
      <c r="A6" s="11" t="s">
        <v>51</v>
      </c>
      <c r="B6" s="17">
        <f>MIN(Predictivo!$F$43)</f>
        <v>46280</v>
      </c>
      <c r="C6" s="17">
        <f>MAX(Predictivo!$G$43)</f>
        <v>46325</v>
      </c>
      <c r="D6" s="22">
        <f t="array" ref="D6">INDEX(NLAB,MATCH(C6,FECHAS,0))-INDEX(NLAB,MATCH(B6,FECHAS,0))+1</f>
        <v>39</v>
      </c>
      <c r="E6" s="11" t="str">
        <f>"H03 "&amp;MID(Predictivo!$D$10,3,200)&amp;" ("&amp;TEXT(DAY(Predictivo!$F$10),"00")&amp;"/"&amp;TEXT(MONTH(Predictivo!$F$10),"00")&amp;"/"&amp;YEAR(Predictivo!$F$10)&amp;")"</f>
        <v>H03 lan para la Dirección del Proyecto aprobado (30/10/2026)</v>
      </c>
    </row>
    <row r="7" ht="33.75" customHeight="1">
      <c r="A7" s="11" t="s">
        <v>111</v>
      </c>
      <c r="B7" s="17">
        <f>MIN(Predictivo!$F$74)</f>
        <v>46326</v>
      </c>
      <c r="C7" s="17">
        <f>MAX(Predictivo!$G$74)</f>
        <v>46568</v>
      </c>
      <c r="D7" s="22">
        <f t="array" ref="D7">INDEX(NLAB,MATCH(C7,FECHAS,0))-INDEX(NLAB,MATCH(B7,FECHAS,0))+1</f>
        <v>199</v>
      </c>
      <c r="E7" s="11" t="str">
        <f>"H04 "&amp;MID(Predictivo!$D$11,3,200)&amp;" ("&amp;TEXT(DAY(Predictivo!$F$11),"00")&amp;"/"&amp;TEXT(MONTH(Predictivo!$F$11),"00")&amp;"/"&amp;YEAR(Predictivo!$F$11)&amp;")"&amp;CHAR(10)&amp;"H06 "&amp;MID(Predictivo!$D$13,3,200)&amp;" ("&amp;TEXT(DAY(Predictivo!$F$13),"00")&amp;"/"&amp;TEXT(MONTH(Predictivo!$F$13),"00")&amp;"/"&amp;YEAR(Predictivo!$F$13)&amp;")"</f>
        <v>H04 nicio formal de la gestión de auspicios (brochure enviado) (06/11/2026)
H06 cuerdos de patrocinio firmados – decisión go/no-go financiera (22/01/2027)</v>
      </c>
    </row>
    <row r="8" ht="30.0" customHeight="1">
      <c r="A8" s="11" t="s">
        <v>120</v>
      </c>
      <c r="B8" s="17">
        <f>MIN(Predictivo!$F$90)</f>
        <v>46333</v>
      </c>
      <c r="C8" s="17">
        <f>MAX(Predictivo!$G$90)</f>
        <v>46603</v>
      </c>
      <c r="D8" s="22">
        <f t="array" ref="D8">INDEX(NLAB,MATCH(C8,FECHAS,0))-INDEX(NLAB,MATCH(B8,FECHAS,0))+1</f>
        <v>220</v>
      </c>
      <c r="E8" s="11" t="str">
        <f>"H08 "&amp;MID(Predictivo!$D$15,3,200)&amp;" ("&amp;TEXT(DAY(Predictivo!$F$15),"00")&amp;"/"&amp;TEXT(MONTH(Predictivo!$F$15),"00")&amp;"/"&amp;YEAR(Predictivo!$F$15)&amp;")"</f>
        <v>H08 eb en producción, lanzamiento de campaña e inscripciones abiertas (15/02/2027)</v>
      </c>
    </row>
    <row r="9" ht="33.75" customHeight="1">
      <c r="A9" s="11" t="s">
        <v>137</v>
      </c>
      <c r="B9" s="17">
        <f>MIN(Predictivo!$F$113,Predictivo!$F$114,Predictivo!$F$143,Predictivo!$F$144,Predictivo!$F$173,Predictivo!$F$174,Predictivo!$F$120,Predictivo!$F$150,Predictivo!$F$180,Predictivo!$F$204,Predictivo!$F$205,Predictivo!$F$210,Predictivo!$F$231,Predictivo!$F$232,Predictivo!$F$236,Predictivo!$F$259,Predictivo!$F$260,Predictivo!$F$266,Predictivo!$F$287,Predictivo!$F$288,Predictivo!$F$289,Predictivo!$F$298)</f>
        <v>46342</v>
      </c>
      <c r="C9" s="17">
        <f>MAX(Predictivo!$G$113,Predictivo!$G$114,Predictivo!$G$143,Predictivo!$G$144,Predictivo!$G$173,Predictivo!$G$174,Predictivo!$G$120,Predictivo!$G$150,Predictivo!$G$180,Predictivo!$G$204,Predictivo!$G$205,Predictivo!$G$210,Predictivo!$G$231,Predictivo!$G$232,Predictivo!$G$236,Predictivo!$G$259,Predictivo!$G$260,Predictivo!$G$266,Predictivo!$G$287,Predictivo!$G$288,Predictivo!$G$289,Predictivo!$G$298)</f>
        <v>46423</v>
      </c>
      <c r="D9" s="22">
        <f t="array" ref="D9">INDEX(NLAB,MATCH(C9,FECHAS,0))-INDEX(NLAB,MATCH(B9,FECHAS,0))+1</f>
        <v>67</v>
      </c>
      <c r="E9" s="11" t="str">
        <f>"H05 "&amp;MID(Predictivo!$D$12,3,200)&amp;" ("&amp;TEXT(DAY(Predictivo!$F$12),"00")&amp;"/"&amp;TEXT(MONTH(Predictivo!$F$12),"00")&amp;"/"&amp;YEAR(Predictivo!$F$12)&amp;")"&amp;CHAR(10)&amp;"H07 "&amp;MID(Predictivo!$D$14,3,200)&amp;" ("&amp;TEXT(DAY(Predictivo!$F$14),"00")&amp;"/"&amp;TEXT(MONTH(Predictivo!$F$14),"00")&amp;"/"&amp;YEAR(Predictivo!$F$14)&amp;")"</f>
        <v>H05 spacios y permisos confirmados (sede alternativa por evento) (15/01/2027)
H07 rograma académico, ponentes, mentores y jurados confirmados (05/02/2027)</v>
      </c>
    </row>
    <row r="10" ht="30.0" customHeight="1">
      <c r="A10" s="11" t="s">
        <v>146</v>
      </c>
      <c r="B10" s="17">
        <f>MIN(Predictivo!$F$123)</f>
        <v>46450</v>
      </c>
      <c r="C10" s="17">
        <f>MAX(Predictivo!$G$123)</f>
        <v>46476</v>
      </c>
      <c r="D10" s="22">
        <f t="array" ref="D10">INDEX(NLAB,MATCH(C10,FECHAS,0))-INDEX(NLAB,MATCH(B10,FECHAS,0))+1</f>
        <v>21</v>
      </c>
      <c r="E10" s="11" t="str">
        <f>"H09 "&amp;MID(Predictivo!$D$16,3,200)&amp;" ("&amp;TEXT(DAY(Predictivo!$F$16),"00")&amp;"/"&amp;TEXT(MONTH(Predictivo!$F$16),"00")&amp;"/"&amp;YEAR(Predictivo!$F$16)&amp;")"</f>
        <v>H09 nicio del Módulo I (primer taller) (04/03/2027)</v>
      </c>
    </row>
    <row r="11" ht="30.0" customHeight="1">
      <c r="A11" s="11" t="s">
        <v>150</v>
      </c>
      <c r="B11" s="17">
        <f>MIN(Predictivo!$F$215)</f>
        <v>46473</v>
      </c>
      <c r="C11" s="17">
        <f>MAX(Predictivo!$G$215)</f>
        <v>46476</v>
      </c>
      <c r="D11" s="22">
        <f t="array" ref="D11">INDEX(NLAB,MATCH(C11,FECHAS,0))-INDEX(NLAB,MATCH(B11,FECHAS,0))+1</f>
        <v>3</v>
      </c>
      <c r="E11" s="11" t="str">
        <f>"H10 "&amp;MID(Predictivo!$D$17,3,200)&amp;" ("&amp;TEXT(DAY(Predictivo!$F$17),"00")&amp;"/"&amp;TEXT(MONTH(Predictivo!$F$17),"00")&amp;"/"&amp;YEAR(Predictivo!$F$17)&amp;")"</f>
        <v>H10 ackathon Kachimbo – cierre del Módulo I (27/03/2027)</v>
      </c>
    </row>
    <row r="12" ht="30.0" customHeight="1">
      <c r="A12" s="11" t="s">
        <v>151</v>
      </c>
      <c r="B12" s="17">
        <f>MIN(Predictivo!$F$153)</f>
        <v>46478</v>
      </c>
      <c r="C12" s="17">
        <f>MAX(Predictivo!$G$153)</f>
        <v>46504</v>
      </c>
      <c r="D12" s="22">
        <f t="array" ref="D12">INDEX(NLAB,MATCH(C12,FECHAS,0))-INDEX(NLAB,MATCH(B12,FECHAS,0))+1</f>
        <v>23</v>
      </c>
      <c r="E12" s="11" t="s">
        <v>152</v>
      </c>
    </row>
    <row r="13" ht="30.0" customHeight="1">
      <c r="A13" s="11" t="s">
        <v>153</v>
      </c>
      <c r="B13" s="17">
        <f>MIN(Predictivo!$F$242)</f>
        <v>46494</v>
      </c>
      <c r="C13" s="17">
        <f>MAX(Predictivo!$G$242)</f>
        <v>46504</v>
      </c>
      <c r="D13" s="22">
        <f t="array" ref="D13">INDEX(NLAB,MATCH(C13,FECHAS,0))-INDEX(NLAB,MATCH(B13,FECHAS,0))+1</f>
        <v>9</v>
      </c>
      <c r="E13" s="11" t="str">
        <f>"H11 "&amp;MID(Predictivo!$D$19,3,200)&amp;" ("&amp;TEXT(DAY(Predictivo!$F$19),"00")&amp;"/"&amp;TEXT(MONTH(Predictivo!$F$19),"00")&amp;"/"&amp;YEAR(Predictivo!$F$19)&amp;")"</f>
        <v>H11 ompetencia de Kaggle – cierre del Módulo II (24/04/2027)</v>
      </c>
    </row>
    <row r="14" ht="30.0" customHeight="1">
      <c r="A14" s="11" t="s">
        <v>158</v>
      </c>
      <c r="B14" s="17">
        <f>MIN(Predictivo!$F$271)</f>
        <v>46536</v>
      </c>
      <c r="C14" s="17">
        <f>MAX(Predictivo!$G$271)</f>
        <v>46539</v>
      </c>
      <c r="D14" s="22">
        <f t="array" ref="D14">INDEX(NLAB,MATCH(C14,FECHAS,0))-INDEX(NLAB,MATCH(B14,FECHAS,0))+1</f>
        <v>3</v>
      </c>
      <c r="E14" s="11" t="str">
        <f>"H12 "&amp;MID(Predictivo!$D$20,3,200)&amp;" ("&amp;TEXT(DAY(Predictivo!$F$20),"00")&amp;"/"&amp;TEXT(MONTH(Predictivo!$F$20),"00")&amp;"/"&amp;YEAR(Predictivo!$F$20)&amp;")"</f>
        <v>H12 ackathon de 8 h "Torneo de Vibecoding" realizado (29/05/2027)</v>
      </c>
    </row>
    <row r="15" ht="30.0" customHeight="1">
      <c r="A15" s="11" t="s">
        <v>159</v>
      </c>
      <c r="B15" s="17">
        <f>MIN(Predictivo!$F$183)</f>
        <v>46541</v>
      </c>
      <c r="C15" s="17">
        <f>MAX(Predictivo!$G$183)</f>
        <v>46568</v>
      </c>
      <c r="D15" s="22">
        <f t="array" ref="D15">INDEX(NLAB,MATCH(C15,FECHAS,0))-INDEX(NLAB,MATCH(B15,FECHAS,0))+1</f>
        <v>22</v>
      </c>
      <c r="E15" s="11" t="str">
        <f>"H13 "&amp;MID(Predictivo!$D$21,3,200)&amp;" ("&amp;TEXT(DAY(Predictivo!$F$21),"00")&amp;"/"&amp;TEXT(MONTH(Predictivo!$F$21),"00")&amp;"/"&amp;YEAR(Predictivo!$F$21)&amp;")"</f>
        <v>H13 remiación GCP – cierre del Módulo III (26/06/2027)</v>
      </c>
    </row>
    <row r="16" ht="30.0" customHeight="1">
      <c r="A16" s="11" t="s">
        <v>164</v>
      </c>
      <c r="B16" s="17">
        <f>MIN(Predictivo!$F$301,Predictivo!$F$303)</f>
        <v>46599</v>
      </c>
      <c r="C16" s="17">
        <f>MAX(Predictivo!$G$301,Predictivo!$G$303)</f>
        <v>46602</v>
      </c>
      <c r="D16" s="22">
        <f t="array" ref="D16">INDEX(NLAB,MATCH(C16,FECHAS,0))-INDEX(NLAB,MATCH(B16,FECHAS,0))+1</f>
        <v>3</v>
      </c>
      <c r="E16" s="11" t="str">
        <f>"H14 "&amp;MID(Predictivo!$D$22,3,200)&amp;" ("&amp;TEXT(DAY(Predictivo!$F$22),"00")&amp;"/"&amp;TEXT(MONTH(Predictivo!$F$22),"00")&amp;"/"&amp;YEAR(Predictivo!$F$22)&amp;")"</f>
        <v>H14 ackathon Internacional de 24 h realizado (evento cumbre) (01/08/2027)</v>
      </c>
    </row>
    <row r="17" ht="78.75" customHeight="1">
      <c r="A17" s="11" t="s">
        <v>166</v>
      </c>
      <c r="B17" s="17">
        <f>MIN(Predictivo!$F$310)</f>
        <v>46293</v>
      </c>
      <c r="C17" s="17">
        <f>MAX(Predictivo!$G$310)</f>
        <v>46618</v>
      </c>
      <c r="D17" s="22">
        <f t="array" ref="D17">INDEX(NLAB,MATCH(C17,FECHAS,0))-INDEX(NLAB,MATCH(B17,FECHAS,0))+1</f>
        <v>266</v>
      </c>
      <c r="E17" s="11" t="str">
        <f>"H15 "&amp;MID(Predictivo!$D$23,3,200)&amp;" ("&amp;TEXT(DAY(Predictivo!$F$23),"00")&amp;"/"&amp;TEXT(MONTH(Predictivo!$F$23),"00")&amp;"/"&amp;YEAR(Predictivo!$F$23)&amp;")"&amp;CHAR(10)&amp;"H16 "&amp;MID(Predictivo!$D$24,3,200)&amp;" ("&amp;TEXT(DAY(Predictivo!$F$24),"00")&amp;"/"&amp;TEXT(MONTH(Predictivo!$F$24),"00")&amp;"/"&amp;YEAR(Predictivo!$F$24)&amp;")"&amp;CHAR(10)&amp;"H17 "&amp;MID(Predictivo!$D$25,3,200)&amp;" ("&amp;TEXT(DAY(Predictivo!$F$25),"00")&amp;"/"&amp;TEXT(MONTH(Predictivo!$F$25),"00")&amp;"/"&amp;YEAR(Predictivo!$F$25)&amp;")"&amp;CHAR(10)&amp;"H18 "&amp;MID(Predictivo!$D$26,3,200)&amp;" ("&amp;TEXT(DAY(Predictivo!$F$26),"00")&amp;"/"&amp;TEXT(MONTH(Predictivo!$F$26),"00")&amp;"/"&amp;YEAR(Predictivo!$F$26)&amp;")"&amp;CHAR(10)&amp;"H19 "&amp;MID(Predictivo!$D$27,3,200)&amp;" ("&amp;TEXT(DAY(Predictivo!$F$27),"00")&amp;"/"&amp;TEXT(MONTH(Predictivo!$F$27),"00")&amp;"/"&amp;YEAR(Predictivo!$F$27)&amp;")"</f>
        <v>H15 eporte de seguimiento N.° 1 presentado (Módulo I y Kachimbo) (02/04/2027)
H16 eporte de seguimiento N.° 2 presentado (Módulo II y Kaggle) (30/04/2027)
H17 eporte de seguimiento N.° 3 presentado (Torneo de Vibecoding) (04/06/2027)
H18 eporte de seguimiento N.° 4 presentado (Módulo III y premiación GCP) (02/07/2027)
H19 eporte de seguimiento N.° 5 presentado (Hackathon de 24 h) (05/08/2027)</v>
      </c>
    </row>
    <row r="18" ht="33.75" customHeight="1">
      <c r="A18" s="11" t="s">
        <v>171</v>
      </c>
      <c r="B18" s="17">
        <f>MIN(Predictivo!$F$336)</f>
        <v>46601</v>
      </c>
      <c r="C18" s="17">
        <f>MAX(Predictivo!$G$336)</f>
        <v>46619</v>
      </c>
      <c r="D18" s="22">
        <f t="array" ref="D18">INDEX(NLAB,MATCH(C18,FECHAS,0))-INDEX(NLAB,MATCH(B18,FECHAS,0))+1</f>
        <v>16</v>
      </c>
      <c r="E18" s="11" t="str">
        <f>"H20 "&amp;MID(Predictivo!$D$28,3,200)&amp;" ("&amp;TEXT(DAY(Predictivo!$F$28),"00")&amp;"/"&amp;TEXT(MONTH(Predictivo!$F$28),"00")&amp;"/"&amp;YEAR(Predictivo!$F$28)&amp;")"&amp;CHAR(10)&amp;"H21 "&amp;MID(Predictivo!$D$29,3,200)&amp;" ("&amp;TEXT(DAY(Predictivo!$F$29),"00")&amp;"/"&amp;TEXT(MONTH(Predictivo!$F$29),"00")&amp;"/"&amp;YEAR(Predictivo!$F$29)&amp;")"</f>
        <v>H20 nforme final de resultados aprobado y enviado a sponsors y PUCP (13/08/2027)
H21 cta de cierre firmada – fin del proyecto (20/08/2027)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4"/>
  <cols>
    <col customWidth="1" min="1" max="1" width="150.0"/>
    <col customWidth="1" min="2" max="26" width="8.71"/>
  </cols>
  <sheetData>
    <row r="1" ht="18.0" customHeight="1">
      <c r="A1" s="7" t="s">
        <v>4</v>
      </c>
    </row>
    <row r="2" ht="45.0" customHeight="1">
      <c r="A2" s="10" t="s">
        <v>10</v>
      </c>
    </row>
    <row r="3" ht="30.0" customHeight="1">
      <c r="A3" s="10" t="s">
        <v>17</v>
      </c>
    </row>
    <row r="4" ht="45.0" customHeight="1">
      <c r="A4" s="10" t="s">
        <v>18</v>
      </c>
    </row>
    <row r="5" ht="60.0" customHeight="1">
      <c r="A5" s="10" t="s">
        <v>19</v>
      </c>
    </row>
    <row r="6" ht="45.0" customHeight="1">
      <c r="A6" s="10" t="s">
        <v>20</v>
      </c>
    </row>
    <row r="7" ht="60.0" customHeight="1">
      <c r="A7" s="10" t="s">
        <v>21</v>
      </c>
    </row>
    <row r="8" ht="75.0" customHeight="1">
      <c r="A8" s="10" t="s">
        <v>22</v>
      </c>
    </row>
    <row r="9" ht="30.0" customHeight="1">
      <c r="A9" s="10" t="s">
        <v>23</v>
      </c>
    </row>
    <row r="10" ht="45.0" customHeight="1">
      <c r="A10" s="10" t="s">
        <v>24</v>
      </c>
    </row>
    <row r="11" ht="45.0" customHeight="1">
      <c r="A11" s="10" t="s">
        <v>25</v>
      </c>
    </row>
    <row r="12" ht="30.0" customHeight="1">
      <c r="A12" s="10" t="s">
        <v>26</v>
      </c>
    </row>
    <row r="13" ht="45.0" customHeight="1">
      <c r="A13" s="10" t="s">
        <v>27</v>
      </c>
    </row>
    <row r="14" ht="45.0" customHeight="1">
      <c r="A14" s="13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